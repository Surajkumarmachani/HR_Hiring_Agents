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Parameters" sheetId="3" state="visible" r:id="rId3"/>
  </sheets>
  <definedNames>
    <definedName name="_xlnm._FilterDatabase" localSheetId="2" hidden="1">'Parameters'!$A$1:$K$158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Arial"/>
      <b val="1"/>
      <color rgb="FF1F3A4D"/>
      <sz val="16"/>
    </font>
    <font>
      <name val="Arial"/>
      <color rgb="FF1F1F1F"/>
      <sz val="10"/>
    </font>
    <font>
      <name val="Arial"/>
      <b val="1"/>
      <color rgb="FF1F3A4D"/>
      <sz val="12"/>
    </font>
    <font>
      <name val="Arial"/>
      <b val="1"/>
      <color rgb="FF1F1F1F"/>
      <sz val="11"/>
    </font>
    <font>
      <name val="Arial"/>
      <b val="1"/>
      <color rgb="FFFFFFFF"/>
      <sz val="10"/>
    </font>
    <font>
      <name val="Arial"/>
      <sz val="9.5"/>
    </font>
    <font>
      <name val="Consolas"/>
      <sz val="9.5"/>
    </font>
    <font>
      <name val="Arial"/>
      <b val="1"/>
      <color rgb="FF146B51"/>
      <sz val="9.5"/>
    </font>
    <font>
      <name val="Arial"/>
      <color rgb="FF146B51"/>
      <sz val="9.5"/>
    </font>
    <font>
      <name val="Arial"/>
      <b val="1"/>
      <color rgb="FF8C5A06"/>
      <sz val="9.5"/>
    </font>
    <font>
      <name val="Arial"/>
      <color rgb="FF8C5A06"/>
      <sz val="9.5"/>
    </font>
    <font>
      <name val="Arial"/>
      <b val="1"/>
      <color rgb="FF9D3628"/>
      <sz val="9.5"/>
    </font>
    <font>
      <name val="Arial"/>
      <color rgb="FF9D3628"/>
      <sz val="9.5"/>
    </font>
    <font>
      <name val="Arial"/>
      <b val="1"/>
      <color rgb="FF1F3A4D"/>
      <sz val="15"/>
    </font>
    <font>
      <name val="Arial"/>
      <i val="1"/>
      <color rgb="FF5A6672"/>
      <sz val="9.5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1F3A4D"/>
      </patternFill>
    </fill>
    <fill>
      <patternFill patternType="solid">
        <fgColor rgb="FFE3F0EB"/>
      </patternFill>
    </fill>
    <fill>
      <patternFill patternType="solid">
        <fgColor rgb="FFF5ECE0"/>
      </patternFill>
    </fill>
    <fill>
      <patternFill patternType="solid">
        <fgColor rgb="FFF6E6E3"/>
      </patternFill>
    </fill>
  </fills>
  <borders count="2">
    <border>
      <left/>
      <right/>
      <top/>
      <bottom/>
      <diagonal/>
    </border>
    <border>
      <bottom style="thin">
        <color rgb="FFD9DE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164" fontId="16" fillId="0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center"/>
    </xf>
    <xf numFmtId="0" fontId="5" fillId="2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12" fillId="5" borderId="1" applyAlignment="1" pivotButton="0" quotePrefix="0" xfId="0">
      <alignment vertical="top"/>
    </xf>
    <xf numFmtId="0" fontId="1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cols>
    <col width="2" customWidth="1" min="1" max="1"/>
    <col width="105" customWidth="1" min="2" max="2"/>
  </cols>
  <sheetData>
    <row r="2">
      <c r="B2" s="1" t="inlineStr">
        <is>
          <t>Interview Signal Layer — Parameter Dictionary</t>
        </is>
      </c>
    </row>
    <row r="3">
      <c r="B3" s="2" t="inlineStr">
        <is>
          <t>Generated 31 Aug 2026 from the pipeline source. Rev 1.0</t>
        </is>
      </c>
    </row>
    <row r="4">
      <c r="B4" s="2" t="inlineStr"/>
    </row>
    <row r="5">
      <c r="B5" s="3" t="inlineStr">
        <is>
          <t>HOW TO READ THIS</t>
        </is>
      </c>
    </row>
    <row r="6" ht="32" customHeight="1">
      <c r="B6" s="2" t="inlineStr">
        <is>
          <t>Every row is one number the pipeline emits. Two columns decide whether you may act on it:</t>
        </is>
      </c>
    </row>
    <row r="7">
      <c r="B7" s="2" t="inlineStr"/>
    </row>
    <row r="8">
      <c r="B8" s="4" t="inlineStr">
        <is>
          <t>validity_tier — what the evidence supports</t>
        </is>
      </c>
    </row>
    <row r="9">
      <c r="B9" s="2" t="inlineStr">
        <is>
          <t xml:space="preserve">  Measured        A real physical quantity. Trust it within its stated error and confounds.</t>
        </is>
      </c>
    </row>
    <row r="10">
      <c r="B10" s="2" t="inlineStr">
        <is>
          <t xml:space="preserve">  Weak inference  Computable, but the mapping to any psychological state is contested. Display with error bars; never feed a decision.</t>
        </is>
      </c>
    </row>
    <row r="11">
      <c r="B11" s="2" t="inlineStr">
        <is>
          <t xml:space="preserve">  Do not ship     Listed so nobody re-adds it later. The measurement cannot be made validly in this setting.</t>
        </is>
      </c>
    </row>
    <row r="12">
      <c r="B12" s="2" t="inlineStr"/>
    </row>
    <row r="13">
      <c r="B13" s="4" t="inlineStr">
        <is>
          <t>status — where it is in the build</t>
        </is>
      </c>
    </row>
    <row r="14">
      <c r="B14" s="2" t="inlineStr">
        <is>
          <t xml:space="preserve">  Implemented  Emitted today by the prototype in interview-signals.zip</t>
        </is>
      </c>
    </row>
    <row r="15">
      <c r="B15" s="2" t="inlineStr">
        <is>
          <t xml:space="preserve">  Phase 1/2    Specified, not yet built. See the build sequence in the spec.</t>
        </is>
      </c>
    </row>
    <row r="16">
      <c r="B16" s="2" t="inlineStr">
        <is>
          <t xml:space="preserve">  Excluded     Deliberately not built.</t>
        </is>
      </c>
    </row>
    <row r="17">
      <c r="B17" s="2" t="inlineStr"/>
    </row>
    <row r="18">
      <c r="B18" s="2" t="inlineStr">
        <is>
          <t>principal_confound is the column to read before anyone quotes a number in a meeting. Most of these features are as sensitive to camera placement, chair design and network quality as they are to the person.</t>
        </is>
      </c>
    </row>
    <row r="19" ht="32" customHeight="1">
      <c r="B19" s="2" t="inlineStr"/>
    </row>
    <row r="20">
      <c r="B20" s="3" t="inlineStr">
        <is>
          <t>NOT IN THIS LIST, ON PURPOSE</t>
        </is>
      </c>
    </row>
    <row r="21">
      <c r="B21" s="2" t="inlineStr">
        <is>
          <t>Thought content, honesty/deception, personality traits, and any hireability score. None can be validly derived from these signals.</t>
        </is>
      </c>
    </row>
    <row r="23" ht="3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</cols>
  <sheetData>
    <row r="2">
      <c r="B2" s="5" t="inlineStr">
        <is>
          <t>Parameter counts</t>
        </is>
      </c>
    </row>
    <row r="3">
      <c r="B3" s="6" t="inlineStr">
        <is>
          <t>Live formulas over the Parameters sheet — they update if you add or edit rows there.</t>
        </is>
      </c>
    </row>
    <row r="5">
      <c r="B5" s="7" t="inlineStr">
        <is>
          <t>By signal group</t>
        </is>
      </c>
    </row>
    <row r="6">
      <c r="B6" s="8" t="inlineStr">
        <is>
          <t>Group</t>
        </is>
      </c>
      <c r="C6" s="8" t="inlineStr">
        <is>
          <t>Count</t>
        </is>
      </c>
      <c r="D6" s="8" t="inlineStr">
        <is>
          <t>Share</t>
        </is>
      </c>
    </row>
    <row r="7">
      <c r="B7" s="9" t="inlineStr">
        <is>
          <t>A Facial action units</t>
        </is>
      </c>
      <c r="C7" s="10">
        <f>COUNTIF(Parameters!$B$2:$B$158,$B7)</f>
        <v/>
      </c>
      <c r="D7" s="11">
        <f>IFERROR(C7/$C$13,0)</f>
        <v/>
      </c>
    </row>
    <row r="8">
      <c r="B8" s="9" t="inlineStr">
        <is>
          <t>B Upper-body kinesics</t>
        </is>
      </c>
      <c r="C8" s="10">
        <f>COUNTIF(Parameters!$B$2:$B$158,$B8)</f>
        <v/>
      </c>
      <c r="D8" s="11">
        <f>IFERROR(C8/$C$13,0)</f>
        <v/>
      </c>
    </row>
    <row r="9">
      <c r="B9" s="9" t="inlineStr">
        <is>
          <t>C Physiological (rPPG)</t>
        </is>
      </c>
      <c r="C9" s="10">
        <f>COUNTIF(Parameters!$B$2:$B$158,$B9)</f>
        <v/>
      </c>
      <c r="D9" s="11">
        <f>IFERROR(C9/$C$13,0)</f>
        <v/>
      </c>
    </row>
    <row r="10">
      <c r="B10" s="9" t="inlineStr">
        <is>
          <t>D Vocal prosody</t>
        </is>
      </c>
      <c r="C10" s="10">
        <f>COUNTIF(Parameters!$B$2:$B$158,$B10)</f>
        <v/>
      </c>
      <c r="D10" s="11">
        <f>IFERROR(C10/$C$13,0)</f>
        <v/>
      </c>
    </row>
    <row r="11">
      <c r="B11" s="9" t="inlineStr">
        <is>
          <t>E Linguistic content</t>
        </is>
      </c>
      <c r="C11" s="10">
        <f>COUNTIF(Parameters!$B$2:$B$158,$B11)</f>
        <v/>
      </c>
      <c r="D11" s="11">
        <f>IFERROR(C11/$C$13,0)</f>
        <v/>
      </c>
    </row>
    <row r="12">
      <c r="B12" s="9" t="inlineStr">
        <is>
          <t>F Session integrity</t>
        </is>
      </c>
      <c r="C12" s="10">
        <f>COUNTIF(Parameters!$B$2:$B$158,$B12)</f>
        <v/>
      </c>
      <c r="D12" s="11">
        <f>IFERROR(C12/$C$13,0)</f>
        <v/>
      </c>
    </row>
    <row r="13">
      <c r="B13" s="12" t="inlineStr">
        <is>
          <t>Total</t>
        </is>
      </c>
      <c r="C13" s="13">
        <f>SUM(C7:C12)</f>
        <v/>
      </c>
    </row>
    <row r="15">
      <c r="B15" s="7" t="inlineStr">
        <is>
          <t>By validity tier</t>
        </is>
      </c>
    </row>
    <row r="16">
      <c r="B16" s="8" t="inlineStr">
        <is>
          <t>Validity tier</t>
        </is>
      </c>
      <c r="C16" s="8" t="inlineStr">
        <is>
          <t>Count</t>
        </is>
      </c>
      <c r="D16" s="8" t="inlineStr">
        <is>
          <t>Share</t>
        </is>
      </c>
    </row>
    <row r="17">
      <c r="B17" s="9" t="inlineStr">
        <is>
          <t>Measured</t>
        </is>
      </c>
      <c r="C17" s="10">
        <f>COUNTIF(Parameters!$H$2:$H$158,$B17)</f>
        <v/>
      </c>
      <c r="D17" s="11">
        <f>IFERROR(C17/$C$20,0)</f>
        <v/>
      </c>
    </row>
    <row r="18">
      <c r="B18" s="9" t="inlineStr">
        <is>
          <t>Weak inference</t>
        </is>
      </c>
      <c r="C18" s="10">
        <f>COUNTIF(Parameters!$H$2:$H$158,$B18)</f>
        <v/>
      </c>
      <c r="D18" s="11">
        <f>IFERROR(C18/$C$20,0)</f>
        <v/>
      </c>
    </row>
    <row r="19">
      <c r="B19" s="9" t="inlineStr">
        <is>
          <t>Do not ship</t>
        </is>
      </c>
      <c r="C19" s="10">
        <f>COUNTIF(Parameters!$H$2:$H$158,$B19)</f>
        <v/>
      </c>
      <c r="D19" s="11">
        <f>IFERROR(C19/$C$20,0)</f>
        <v/>
      </c>
    </row>
    <row r="20">
      <c r="B20" s="12" t="inlineStr">
        <is>
          <t>Total</t>
        </is>
      </c>
      <c r="C20" s="13">
        <f>SUM(C17:C19)</f>
        <v/>
      </c>
    </row>
    <row r="22">
      <c r="B22" s="7" t="inlineStr">
        <is>
          <t>By build status</t>
        </is>
      </c>
    </row>
    <row r="23">
      <c r="B23" s="8" t="inlineStr">
        <is>
          <t>Status</t>
        </is>
      </c>
      <c r="C23" s="8" t="inlineStr">
        <is>
          <t>Count</t>
        </is>
      </c>
      <c r="D23" s="8" t="inlineStr">
        <is>
          <t>Share</t>
        </is>
      </c>
    </row>
    <row r="24">
      <c r="B24" s="9" t="inlineStr">
        <is>
          <t>Implemented</t>
        </is>
      </c>
      <c r="C24" s="10">
        <f>COUNTIF(Parameters!$I$2:$I$158,$B24)</f>
        <v/>
      </c>
      <c r="D24" s="11">
        <f>IFERROR(C24/$C$28,0)</f>
        <v/>
      </c>
    </row>
    <row r="25">
      <c r="B25" s="9" t="inlineStr">
        <is>
          <t>Phase 1</t>
        </is>
      </c>
      <c r="C25" s="10">
        <f>COUNTIF(Parameters!$I$2:$I$158,$B25)</f>
        <v/>
      </c>
      <c r="D25" s="11">
        <f>IFERROR(C25/$C$28,0)</f>
        <v/>
      </c>
    </row>
    <row r="26">
      <c r="B26" s="9" t="inlineStr">
        <is>
          <t>Phase 2</t>
        </is>
      </c>
      <c r="C26" s="10">
        <f>COUNTIF(Parameters!$I$2:$I$158,$B26)</f>
        <v/>
      </c>
      <c r="D26" s="11">
        <f>IFERROR(C26/$C$28,0)</f>
        <v/>
      </c>
    </row>
    <row r="27">
      <c r="B27" s="9" t="inlineStr">
        <is>
          <t>Excluded</t>
        </is>
      </c>
      <c r="C27" s="10">
        <f>COUNTIF(Parameters!$I$2:$I$158,$B27)</f>
        <v/>
      </c>
      <c r="D27" s="11">
        <f>IFERROR(C27/$C$28,0)</f>
        <v/>
      </c>
    </row>
    <row r="28">
      <c r="B28" s="12" t="inlineStr">
        <is>
          <t>Total</t>
        </is>
      </c>
      <c r="C28" s="13">
        <f>SUM(C24:C27)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34" customWidth="1" min="4" max="4"/>
    <col width="10" customWidth="1" min="5" max="5"/>
    <col width="26" customWidth="1" min="6" max="6"/>
    <col width="9" customWidth="1" min="7" max="7"/>
    <col width="15" customWidth="1" min="8" max="8"/>
    <col width="13" customWidth="1" min="9" max="9"/>
    <col width="62" customWidth="1" min="10" max="10"/>
    <col width="62" customWidth="1" min="11" max="11"/>
  </cols>
  <sheetData>
    <row r="1" ht="30" customHeight="1">
      <c r="A1" s="14" t="inlineStr">
        <is>
          <t>Parameter ID</t>
        </is>
      </c>
      <c r="B1" s="14" t="inlineStr">
        <is>
          <t>Group</t>
        </is>
      </c>
      <c r="C1" s="14" t="inlineStr">
        <is>
          <t>Sub-group</t>
        </is>
      </c>
      <c r="D1" s="14" t="inlineStr">
        <is>
          <t>Parameter</t>
        </is>
      </c>
      <c r="E1" s="14" t="inlineStr">
        <is>
          <t>Type</t>
        </is>
      </c>
      <c r="F1" s="14" t="inlineStr">
        <is>
          <t>Unit / range</t>
        </is>
      </c>
      <c r="G1" s="14" t="inlineStr">
        <is>
          <t>Rate (Hz)</t>
        </is>
      </c>
      <c r="H1" s="14" t="inlineStr">
        <is>
          <t>Validity tier</t>
        </is>
      </c>
      <c r="I1" s="14" t="inlineStr">
        <is>
          <t>Status</t>
        </is>
      </c>
      <c r="J1" s="14" t="inlineStr">
        <is>
          <t>What it measures</t>
        </is>
      </c>
      <c r="K1" s="14" t="inlineStr">
        <is>
          <t>Principal confound</t>
        </is>
      </c>
    </row>
    <row r="2">
      <c r="A2" s="15" t="inlineStr">
        <is>
          <t>face.AU01</t>
        </is>
      </c>
      <c r="B2" s="16" t="inlineStr">
        <is>
          <t>A Facial action units</t>
        </is>
      </c>
      <c r="C2" s="16" t="inlineStr">
        <is>
          <t>A1 Upper face</t>
        </is>
      </c>
      <c r="D2" s="16" t="inlineStr">
        <is>
          <t>Inner brow raiser</t>
        </is>
      </c>
      <c r="E2" s="16" t="inlineStr">
        <is>
          <t>Raw</t>
        </is>
      </c>
      <c r="F2" s="16" t="inlineStr">
        <is>
          <t>0.0-1.0 activation</t>
        </is>
      </c>
      <c r="G2" s="17" t="n">
        <v>30</v>
      </c>
      <c r="H2" s="18" t="inlineStr">
        <is>
          <t>Measured</t>
        </is>
      </c>
      <c r="I2" s="19" t="inlineStr">
        <is>
          <t>Implemented</t>
        </is>
      </c>
      <c r="J2" s="20" t="inlineStr">
        <is>
          <t>Surprise or concern component; also plain listening behaviour</t>
        </is>
      </c>
      <c r="K2" s="20" t="inlineStr">
        <is>
          <t>Fires constantly in normal conversational backchannel</t>
        </is>
      </c>
    </row>
    <row r="3">
      <c r="A3" s="15" t="inlineStr">
        <is>
          <t>face.AU02</t>
        </is>
      </c>
      <c r="B3" s="16" t="inlineStr">
        <is>
          <t>A Facial action units</t>
        </is>
      </c>
      <c r="C3" s="16" t="inlineStr">
        <is>
          <t>A1 Upper face</t>
        </is>
      </c>
      <c r="D3" s="16" t="inlineStr">
        <is>
          <t>Outer brow raiser</t>
        </is>
      </c>
      <c r="E3" s="16" t="inlineStr">
        <is>
          <t>Raw</t>
        </is>
      </c>
      <c r="F3" s="16" t="inlineStr">
        <is>
          <t>0.0-1.0 activation</t>
        </is>
      </c>
      <c r="G3" s="17" t="n">
        <v>30</v>
      </c>
      <c r="H3" s="18" t="inlineStr">
        <is>
          <t>Measured</t>
        </is>
      </c>
      <c r="I3" s="19" t="inlineStr">
        <is>
          <t>Implemented</t>
        </is>
      </c>
      <c r="J3" s="20" t="inlineStr">
        <is>
          <t>Surprise, emphasis, conversational punctuation</t>
        </is>
      </c>
      <c r="K3" s="20" t="inlineStr">
        <is>
          <t>Habitual expressive style varies enormously between people</t>
        </is>
      </c>
    </row>
    <row r="4">
      <c r="A4" s="15" t="inlineStr">
        <is>
          <t>face.AU02_L</t>
        </is>
      </c>
      <c r="B4" s="16" t="inlineStr">
        <is>
          <t>A Facial action units</t>
        </is>
      </c>
      <c r="C4" s="16" t="inlineStr">
        <is>
          <t>A1 Upper face</t>
        </is>
      </c>
      <c r="D4" s="16" t="inlineStr">
        <is>
          <t>Outer brow raiser — left side</t>
        </is>
      </c>
      <c r="E4" s="16" t="inlineStr">
        <is>
          <t>Raw</t>
        </is>
      </c>
      <c r="F4" s="16" t="inlineStr">
        <is>
          <t>0.0-1.0</t>
        </is>
      </c>
      <c r="G4" s="17" t="n">
        <v>30</v>
      </c>
      <c r="H4" s="18" t="inlineStr">
        <is>
          <t>Measured</t>
        </is>
      </c>
      <c r="I4" s="19" t="inlineStr">
        <is>
          <t>Implemented</t>
        </is>
      </c>
      <c r="J4" s="20" t="inlineStr">
        <is>
          <t>Left-hemiface activation, measured independently</t>
        </is>
      </c>
      <c r="K4" s="20" t="inlineStr">
        <is>
          <t>Habitual expressive style varies enormously between people</t>
        </is>
      </c>
    </row>
    <row r="5">
      <c r="A5" s="15" t="inlineStr">
        <is>
          <t>face.AU02_R</t>
        </is>
      </c>
      <c r="B5" s="16" t="inlineStr">
        <is>
          <t>A Facial action units</t>
        </is>
      </c>
      <c r="C5" s="16" t="inlineStr">
        <is>
          <t>A1 Upper face</t>
        </is>
      </c>
      <c r="D5" s="16" t="inlineStr">
        <is>
          <t>Outer brow raiser — right side</t>
        </is>
      </c>
      <c r="E5" s="16" t="inlineStr">
        <is>
          <t>Raw</t>
        </is>
      </c>
      <c r="F5" s="16" t="inlineStr">
        <is>
          <t>0.0-1.0</t>
        </is>
      </c>
      <c r="G5" s="17" t="n">
        <v>30</v>
      </c>
      <c r="H5" s="18" t="inlineStr">
        <is>
          <t>Measured</t>
        </is>
      </c>
      <c r="I5" s="19" t="inlineStr">
        <is>
          <t>Implemented</t>
        </is>
      </c>
      <c r="J5" s="20" t="inlineStr">
        <is>
          <t>Right-hemiface activation, measured independently</t>
        </is>
      </c>
      <c r="K5" s="20" t="inlineStr">
        <is>
          <t>Habitual expressive style varies enormously between people</t>
        </is>
      </c>
    </row>
    <row r="6">
      <c r="A6" s="15" t="inlineStr">
        <is>
          <t>face.AU02_asym</t>
        </is>
      </c>
      <c r="B6" s="16" t="inlineStr">
        <is>
          <t>A Facial action units</t>
        </is>
      </c>
      <c r="C6" s="16" t="inlineStr">
        <is>
          <t>A4 Asymmetry</t>
        </is>
      </c>
      <c r="D6" s="16" t="inlineStr">
        <is>
          <t>Outer brow raiser — asymmetry</t>
        </is>
      </c>
      <c r="E6" s="16" t="inlineStr">
        <is>
          <t>Derived</t>
        </is>
      </c>
      <c r="F6" s="16" t="inlineStr">
        <is>
          <t>0.0-1.0 (|L-R|)</t>
        </is>
      </c>
      <c r="G6" s="17" t="n">
        <v>30</v>
      </c>
      <c r="H6" s="21" t="inlineStr">
        <is>
          <t>Weak inference</t>
        </is>
      </c>
      <c r="I6" s="19" t="inlineStr">
        <is>
          <t>Implemented</t>
        </is>
      </c>
      <c r="J6" s="20" t="inlineStr">
        <is>
          <t>Left-right imbalance. Spontaneous expressions are more symmetric than posed ones as a population tendency</t>
        </is>
      </c>
      <c r="K6" s="20" t="inlineStr">
        <is>
          <t>Facial nerve variation, unilateral habit, camera angle. Never a per-person verdict</t>
        </is>
      </c>
    </row>
    <row r="7">
      <c r="A7" s="15" t="inlineStr">
        <is>
          <t>face.AU04</t>
        </is>
      </c>
      <c r="B7" s="16" t="inlineStr">
        <is>
          <t>A Facial action units</t>
        </is>
      </c>
      <c r="C7" s="16" t="inlineStr">
        <is>
          <t>A1 Upper face</t>
        </is>
      </c>
      <c r="D7" s="16" t="inlineStr">
        <is>
          <t>Brow lowerer</t>
        </is>
      </c>
      <c r="E7" s="16" t="inlineStr">
        <is>
          <t>Raw</t>
        </is>
      </c>
      <c r="F7" s="16" t="inlineStr">
        <is>
          <t>0.0-1.0 activation</t>
        </is>
      </c>
      <c r="G7" s="17" t="n">
        <v>30</v>
      </c>
      <c r="H7" s="18" t="inlineStr">
        <is>
          <t>Measured</t>
        </is>
      </c>
      <c r="I7" s="19" t="inlineStr">
        <is>
          <t>Implemented</t>
        </is>
      </c>
      <c r="J7" s="20" t="inlineStr">
        <is>
          <t>Concentration, effortful recall, confusion</t>
        </is>
      </c>
      <c r="K7" s="20" t="inlineStr">
        <is>
          <t>Bright screen, squinting at small text, uncorrected vision</t>
        </is>
      </c>
    </row>
    <row r="8">
      <c r="A8" s="15" t="inlineStr">
        <is>
          <t>face.AU04_L</t>
        </is>
      </c>
      <c r="B8" s="16" t="inlineStr">
        <is>
          <t>A Facial action units</t>
        </is>
      </c>
      <c r="C8" s="16" t="inlineStr">
        <is>
          <t>A1 Upper face</t>
        </is>
      </c>
      <c r="D8" s="16" t="inlineStr">
        <is>
          <t>Brow lowerer — left side</t>
        </is>
      </c>
      <c r="E8" s="16" t="inlineStr">
        <is>
          <t>Raw</t>
        </is>
      </c>
      <c r="F8" s="16" t="inlineStr">
        <is>
          <t>0.0-1.0</t>
        </is>
      </c>
      <c r="G8" s="17" t="n">
        <v>30</v>
      </c>
      <c r="H8" s="18" t="inlineStr">
        <is>
          <t>Measured</t>
        </is>
      </c>
      <c r="I8" s="19" t="inlineStr">
        <is>
          <t>Implemented</t>
        </is>
      </c>
      <c r="J8" s="20" t="inlineStr">
        <is>
          <t>Left-hemiface activation, measured independently</t>
        </is>
      </c>
      <c r="K8" s="20" t="inlineStr">
        <is>
          <t>Bright screen, squinting at small text, uncorrected vision</t>
        </is>
      </c>
    </row>
    <row r="9">
      <c r="A9" s="15" t="inlineStr">
        <is>
          <t>face.AU04_R</t>
        </is>
      </c>
      <c r="B9" s="16" t="inlineStr">
        <is>
          <t>A Facial action units</t>
        </is>
      </c>
      <c r="C9" s="16" t="inlineStr">
        <is>
          <t>A1 Upper face</t>
        </is>
      </c>
      <c r="D9" s="16" t="inlineStr">
        <is>
          <t>Brow lowerer — right side</t>
        </is>
      </c>
      <c r="E9" s="16" t="inlineStr">
        <is>
          <t>Raw</t>
        </is>
      </c>
      <c r="F9" s="16" t="inlineStr">
        <is>
          <t>0.0-1.0</t>
        </is>
      </c>
      <c r="G9" s="17" t="n">
        <v>30</v>
      </c>
      <c r="H9" s="18" t="inlineStr">
        <is>
          <t>Measured</t>
        </is>
      </c>
      <c r="I9" s="19" t="inlineStr">
        <is>
          <t>Implemented</t>
        </is>
      </c>
      <c r="J9" s="20" t="inlineStr">
        <is>
          <t>Right-hemiface activation, measured independently</t>
        </is>
      </c>
      <c r="K9" s="20" t="inlineStr">
        <is>
          <t>Bright screen, squinting at small text, uncorrected vision</t>
        </is>
      </c>
    </row>
    <row r="10">
      <c r="A10" s="15" t="inlineStr">
        <is>
          <t>face.AU04_asym</t>
        </is>
      </c>
      <c r="B10" s="16" t="inlineStr">
        <is>
          <t>A Facial action units</t>
        </is>
      </c>
      <c r="C10" s="16" t="inlineStr">
        <is>
          <t>A4 Asymmetry</t>
        </is>
      </c>
      <c r="D10" s="16" t="inlineStr">
        <is>
          <t>Brow lowerer — asymmetry</t>
        </is>
      </c>
      <c r="E10" s="16" t="inlineStr">
        <is>
          <t>Derived</t>
        </is>
      </c>
      <c r="F10" s="16" t="inlineStr">
        <is>
          <t>0.0-1.0 (|L-R|)</t>
        </is>
      </c>
      <c r="G10" s="17" t="n">
        <v>30</v>
      </c>
      <c r="H10" s="21" t="inlineStr">
        <is>
          <t>Weak inference</t>
        </is>
      </c>
      <c r="I10" s="19" t="inlineStr">
        <is>
          <t>Implemented</t>
        </is>
      </c>
      <c r="J10" s="20" t="inlineStr">
        <is>
          <t>Left-right imbalance. Spontaneous expressions are more symmetric than posed ones as a population tendency</t>
        </is>
      </c>
      <c r="K10" s="20" t="inlineStr">
        <is>
          <t>Facial nerve variation, unilateral habit, camera angle. Never a per-person verdict</t>
        </is>
      </c>
    </row>
    <row r="11">
      <c r="A11" s="15" t="inlineStr">
        <is>
          <t>face.AU05</t>
        </is>
      </c>
      <c r="B11" s="16" t="inlineStr">
        <is>
          <t>A Facial action units</t>
        </is>
      </c>
      <c r="C11" s="16" t="inlineStr">
        <is>
          <t>A2 Mid face / periocular</t>
        </is>
      </c>
      <c r="D11" s="16" t="inlineStr">
        <is>
          <t>Upper lid raiser</t>
        </is>
      </c>
      <c r="E11" s="16" t="inlineStr">
        <is>
          <t>Raw</t>
        </is>
      </c>
      <c r="F11" s="16" t="inlineStr">
        <is>
          <t>0.0-1.0 activation</t>
        </is>
      </c>
      <c r="G11" s="17" t="n">
        <v>30</v>
      </c>
      <c r="H11" s="18" t="inlineStr">
        <is>
          <t>Measured</t>
        </is>
      </c>
      <c r="I11" s="19" t="inlineStr">
        <is>
          <t>Implemented</t>
        </is>
      </c>
      <c r="J11" s="20" t="inlineStr">
        <is>
          <t>Alertness, surprise, startle</t>
        </is>
      </c>
      <c r="K11" s="20" t="inlineStr">
        <is>
          <t>Wide-set eyes and eyelid anatomy shift the baseline</t>
        </is>
      </c>
    </row>
    <row r="12">
      <c r="A12" s="15" t="inlineStr">
        <is>
          <t>face.AU05_L</t>
        </is>
      </c>
      <c r="B12" s="16" t="inlineStr">
        <is>
          <t>A Facial action units</t>
        </is>
      </c>
      <c r="C12" s="16" t="inlineStr">
        <is>
          <t>A2 Mid face / periocular</t>
        </is>
      </c>
      <c r="D12" s="16" t="inlineStr">
        <is>
          <t>Upper lid raiser — left side</t>
        </is>
      </c>
      <c r="E12" s="16" t="inlineStr">
        <is>
          <t>Raw</t>
        </is>
      </c>
      <c r="F12" s="16" t="inlineStr">
        <is>
          <t>0.0-1.0</t>
        </is>
      </c>
      <c r="G12" s="17" t="n">
        <v>30</v>
      </c>
      <c r="H12" s="18" t="inlineStr">
        <is>
          <t>Measured</t>
        </is>
      </c>
      <c r="I12" s="19" t="inlineStr">
        <is>
          <t>Implemented</t>
        </is>
      </c>
      <c r="J12" s="20" t="inlineStr">
        <is>
          <t>Left-hemiface activation, measured independently</t>
        </is>
      </c>
      <c r="K12" s="20" t="inlineStr">
        <is>
          <t>Wide-set eyes and eyelid anatomy shift the baseline</t>
        </is>
      </c>
    </row>
    <row r="13">
      <c r="A13" s="15" t="inlineStr">
        <is>
          <t>face.AU05_R</t>
        </is>
      </c>
      <c r="B13" s="16" t="inlineStr">
        <is>
          <t>A Facial action units</t>
        </is>
      </c>
      <c r="C13" s="16" t="inlineStr">
        <is>
          <t>A2 Mid face / periocular</t>
        </is>
      </c>
      <c r="D13" s="16" t="inlineStr">
        <is>
          <t>Upper lid raiser — right side</t>
        </is>
      </c>
      <c r="E13" s="16" t="inlineStr">
        <is>
          <t>Raw</t>
        </is>
      </c>
      <c r="F13" s="16" t="inlineStr">
        <is>
          <t>0.0-1.0</t>
        </is>
      </c>
      <c r="G13" s="17" t="n">
        <v>30</v>
      </c>
      <c r="H13" s="18" t="inlineStr">
        <is>
          <t>Measured</t>
        </is>
      </c>
      <c r="I13" s="19" t="inlineStr">
        <is>
          <t>Implemented</t>
        </is>
      </c>
      <c r="J13" s="20" t="inlineStr">
        <is>
          <t>Right-hemiface activation, measured independently</t>
        </is>
      </c>
      <c r="K13" s="20" t="inlineStr">
        <is>
          <t>Wide-set eyes and eyelid anatomy shift the baseline</t>
        </is>
      </c>
    </row>
    <row r="14">
      <c r="A14" s="15" t="inlineStr">
        <is>
          <t>face.AU05_asym</t>
        </is>
      </c>
      <c r="B14" s="16" t="inlineStr">
        <is>
          <t>A Facial action units</t>
        </is>
      </c>
      <c r="C14" s="16" t="inlineStr">
        <is>
          <t>A4 Asymmetry</t>
        </is>
      </c>
      <c r="D14" s="16" t="inlineStr">
        <is>
          <t>Upper lid raiser — asymmetry</t>
        </is>
      </c>
      <c r="E14" s="16" t="inlineStr">
        <is>
          <t>Derived</t>
        </is>
      </c>
      <c r="F14" s="16" t="inlineStr">
        <is>
          <t>0.0-1.0 (|L-R|)</t>
        </is>
      </c>
      <c r="G14" s="17" t="n">
        <v>30</v>
      </c>
      <c r="H14" s="21" t="inlineStr">
        <is>
          <t>Weak inference</t>
        </is>
      </c>
      <c r="I14" s="19" t="inlineStr">
        <is>
          <t>Implemented</t>
        </is>
      </c>
      <c r="J14" s="20" t="inlineStr">
        <is>
          <t>Left-right imbalance. Spontaneous expressions are more symmetric than posed ones as a population tendency</t>
        </is>
      </c>
      <c r="K14" s="20" t="inlineStr">
        <is>
          <t>Facial nerve variation, unilateral habit, camera angle. Never a per-person verdict</t>
        </is>
      </c>
    </row>
    <row r="15">
      <c r="A15" s="15" t="inlineStr">
        <is>
          <t>face.AU06</t>
        </is>
      </c>
      <c r="B15" s="16" t="inlineStr">
        <is>
          <t>A Facial action units</t>
        </is>
      </c>
      <c r="C15" s="16" t="inlineStr">
        <is>
          <t>A2 Mid face / periocular</t>
        </is>
      </c>
      <c r="D15" s="16" t="inlineStr">
        <is>
          <t>Cheek raiser (Duchenne)</t>
        </is>
      </c>
      <c r="E15" s="16" t="inlineStr">
        <is>
          <t>Raw</t>
        </is>
      </c>
      <c r="F15" s="16" t="inlineStr">
        <is>
          <t>0.0-1.0 activation</t>
        </is>
      </c>
      <c r="G15" s="17" t="n">
        <v>30</v>
      </c>
      <c r="H15" s="18" t="inlineStr">
        <is>
          <t>Measured</t>
        </is>
      </c>
      <c r="I15" s="19" t="inlineStr">
        <is>
          <t>Implemented</t>
        </is>
      </c>
      <c r="J15" s="20" t="inlineStr">
        <is>
          <t>Duchenne marker; with AU12 separates felt from social smiling</t>
        </is>
      </c>
      <c r="K15" s="20" t="inlineStr">
        <is>
          <t>Suppressed by strong under-lighting and by heavy eye makeup</t>
        </is>
      </c>
    </row>
    <row r="16">
      <c r="A16" s="15" t="inlineStr">
        <is>
          <t>face.AU06_L</t>
        </is>
      </c>
      <c r="B16" s="16" t="inlineStr">
        <is>
          <t>A Facial action units</t>
        </is>
      </c>
      <c r="C16" s="16" t="inlineStr">
        <is>
          <t>A2 Mid face / periocular</t>
        </is>
      </c>
      <c r="D16" s="16" t="inlineStr">
        <is>
          <t>Cheek raiser (Duchenne) — left side</t>
        </is>
      </c>
      <c r="E16" s="16" t="inlineStr">
        <is>
          <t>Raw</t>
        </is>
      </c>
      <c r="F16" s="16" t="inlineStr">
        <is>
          <t>0.0-1.0</t>
        </is>
      </c>
      <c r="G16" s="17" t="n">
        <v>30</v>
      </c>
      <c r="H16" s="18" t="inlineStr">
        <is>
          <t>Measured</t>
        </is>
      </c>
      <c r="I16" s="19" t="inlineStr">
        <is>
          <t>Implemented</t>
        </is>
      </c>
      <c r="J16" s="20" t="inlineStr">
        <is>
          <t>Left-hemiface activation, measured independently</t>
        </is>
      </c>
      <c r="K16" s="20" t="inlineStr">
        <is>
          <t>Suppressed by strong under-lighting and by heavy eye makeup</t>
        </is>
      </c>
    </row>
    <row r="17">
      <c r="A17" s="15" t="inlineStr">
        <is>
          <t>face.AU06_R</t>
        </is>
      </c>
      <c r="B17" s="16" t="inlineStr">
        <is>
          <t>A Facial action units</t>
        </is>
      </c>
      <c r="C17" s="16" t="inlineStr">
        <is>
          <t>A2 Mid face / periocular</t>
        </is>
      </c>
      <c r="D17" s="16" t="inlineStr">
        <is>
          <t>Cheek raiser (Duchenne) — right side</t>
        </is>
      </c>
      <c r="E17" s="16" t="inlineStr">
        <is>
          <t>Raw</t>
        </is>
      </c>
      <c r="F17" s="16" t="inlineStr">
        <is>
          <t>0.0-1.0</t>
        </is>
      </c>
      <c r="G17" s="17" t="n">
        <v>30</v>
      </c>
      <c r="H17" s="18" t="inlineStr">
        <is>
          <t>Measured</t>
        </is>
      </c>
      <c r="I17" s="19" t="inlineStr">
        <is>
          <t>Implemented</t>
        </is>
      </c>
      <c r="J17" s="20" t="inlineStr">
        <is>
          <t>Right-hemiface activation, measured independently</t>
        </is>
      </c>
      <c r="K17" s="20" t="inlineStr">
        <is>
          <t>Suppressed by strong under-lighting and by heavy eye makeup</t>
        </is>
      </c>
    </row>
    <row r="18">
      <c r="A18" s="15" t="inlineStr">
        <is>
          <t>face.AU06_asym</t>
        </is>
      </c>
      <c r="B18" s="16" t="inlineStr">
        <is>
          <t>A Facial action units</t>
        </is>
      </c>
      <c r="C18" s="16" t="inlineStr">
        <is>
          <t>A4 Asymmetry</t>
        </is>
      </c>
      <c r="D18" s="16" t="inlineStr">
        <is>
          <t>Cheek raiser (Duchenne) — asymmetry</t>
        </is>
      </c>
      <c r="E18" s="16" t="inlineStr">
        <is>
          <t>Derived</t>
        </is>
      </c>
      <c r="F18" s="16" t="inlineStr">
        <is>
          <t>0.0-1.0 (|L-R|)</t>
        </is>
      </c>
      <c r="G18" s="17" t="n">
        <v>30</v>
      </c>
      <c r="H18" s="21" t="inlineStr">
        <is>
          <t>Weak inference</t>
        </is>
      </c>
      <c r="I18" s="19" t="inlineStr">
        <is>
          <t>Implemented</t>
        </is>
      </c>
      <c r="J18" s="20" t="inlineStr">
        <is>
          <t>Left-right imbalance. Spontaneous expressions are more symmetric than posed ones as a population tendency</t>
        </is>
      </c>
      <c r="K18" s="20" t="inlineStr">
        <is>
          <t>Facial nerve variation, unilateral habit, camera angle. Never a per-person verdict</t>
        </is>
      </c>
    </row>
    <row r="19">
      <c r="A19" s="15" t="inlineStr">
        <is>
          <t>face.AU07</t>
        </is>
      </c>
      <c r="B19" s="16" t="inlineStr">
        <is>
          <t>A Facial action units</t>
        </is>
      </c>
      <c r="C19" s="16" t="inlineStr">
        <is>
          <t>A2 Mid face / periocular</t>
        </is>
      </c>
      <c r="D19" s="16" t="inlineStr">
        <is>
          <t>Lid tightener</t>
        </is>
      </c>
      <c r="E19" s="16" t="inlineStr">
        <is>
          <t>Raw</t>
        </is>
      </c>
      <c r="F19" s="16" t="inlineStr">
        <is>
          <t>0.0-1.0 activation</t>
        </is>
      </c>
      <c r="G19" s="17" t="n">
        <v>30</v>
      </c>
      <c r="H19" s="18" t="inlineStr">
        <is>
          <t>Measured</t>
        </is>
      </c>
      <c r="I19" s="19" t="inlineStr">
        <is>
          <t>Implemented</t>
        </is>
      </c>
      <c r="J19" s="20" t="inlineStr">
        <is>
          <t>Scrutiny, discomfort, or simply screen squint</t>
        </is>
      </c>
      <c r="K19" s="20" t="inlineStr">
        <is>
          <t>Screen distance and glare</t>
        </is>
      </c>
    </row>
    <row r="20">
      <c r="A20" s="15" t="inlineStr">
        <is>
          <t>face.AU07_L</t>
        </is>
      </c>
      <c r="B20" s="16" t="inlineStr">
        <is>
          <t>A Facial action units</t>
        </is>
      </c>
      <c r="C20" s="16" t="inlineStr">
        <is>
          <t>A2 Mid face / periocular</t>
        </is>
      </c>
      <c r="D20" s="16" t="inlineStr">
        <is>
          <t>Lid tightener — left side</t>
        </is>
      </c>
      <c r="E20" s="16" t="inlineStr">
        <is>
          <t>Raw</t>
        </is>
      </c>
      <c r="F20" s="16" t="inlineStr">
        <is>
          <t>0.0-1.0</t>
        </is>
      </c>
      <c r="G20" s="17" t="n">
        <v>30</v>
      </c>
      <c r="H20" s="18" t="inlineStr">
        <is>
          <t>Measured</t>
        </is>
      </c>
      <c r="I20" s="19" t="inlineStr">
        <is>
          <t>Implemented</t>
        </is>
      </c>
      <c r="J20" s="20" t="inlineStr">
        <is>
          <t>Left-hemiface activation, measured independently</t>
        </is>
      </c>
      <c r="K20" s="20" t="inlineStr">
        <is>
          <t>Screen distance and glare</t>
        </is>
      </c>
    </row>
    <row r="21">
      <c r="A21" s="15" t="inlineStr">
        <is>
          <t>face.AU07_R</t>
        </is>
      </c>
      <c r="B21" s="16" t="inlineStr">
        <is>
          <t>A Facial action units</t>
        </is>
      </c>
      <c r="C21" s="16" t="inlineStr">
        <is>
          <t>A2 Mid face / periocular</t>
        </is>
      </c>
      <c r="D21" s="16" t="inlineStr">
        <is>
          <t>Lid tightener — right side</t>
        </is>
      </c>
      <c r="E21" s="16" t="inlineStr">
        <is>
          <t>Raw</t>
        </is>
      </c>
      <c r="F21" s="16" t="inlineStr">
        <is>
          <t>0.0-1.0</t>
        </is>
      </c>
      <c r="G21" s="17" t="n">
        <v>30</v>
      </c>
      <c r="H21" s="18" t="inlineStr">
        <is>
          <t>Measured</t>
        </is>
      </c>
      <c r="I21" s="19" t="inlineStr">
        <is>
          <t>Implemented</t>
        </is>
      </c>
      <c r="J21" s="20" t="inlineStr">
        <is>
          <t>Right-hemiface activation, measured independently</t>
        </is>
      </c>
      <c r="K21" s="20" t="inlineStr">
        <is>
          <t>Screen distance and glare</t>
        </is>
      </c>
    </row>
    <row r="22">
      <c r="A22" s="15" t="inlineStr">
        <is>
          <t>face.AU07_asym</t>
        </is>
      </c>
      <c r="B22" s="16" t="inlineStr">
        <is>
          <t>A Facial action units</t>
        </is>
      </c>
      <c r="C22" s="16" t="inlineStr">
        <is>
          <t>A4 Asymmetry</t>
        </is>
      </c>
      <c r="D22" s="16" t="inlineStr">
        <is>
          <t>Lid tightener — asymmetry</t>
        </is>
      </c>
      <c r="E22" s="16" t="inlineStr">
        <is>
          <t>Derived</t>
        </is>
      </c>
      <c r="F22" s="16" t="inlineStr">
        <is>
          <t>0.0-1.0 (|L-R|)</t>
        </is>
      </c>
      <c r="G22" s="17" t="n">
        <v>30</v>
      </c>
      <c r="H22" s="21" t="inlineStr">
        <is>
          <t>Weak inference</t>
        </is>
      </c>
      <c r="I22" s="19" t="inlineStr">
        <is>
          <t>Implemented</t>
        </is>
      </c>
      <c r="J22" s="20" t="inlineStr">
        <is>
          <t>Left-right imbalance. Spontaneous expressions are more symmetric than posed ones as a population tendency</t>
        </is>
      </c>
      <c r="K22" s="20" t="inlineStr">
        <is>
          <t>Facial nerve variation, unilateral habit, camera angle. Never a per-person verdict</t>
        </is>
      </c>
    </row>
    <row r="23">
      <c r="A23" s="15" t="inlineStr">
        <is>
          <t>face.AU09</t>
        </is>
      </c>
      <c r="B23" s="16" t="inlineStr">
        <is>
          <t>A Facial action units</t>
        </is>
      </c>
      <c r="C23" s="16" t="inlineStr">
        <is>
          <t>A2 Mid face / periocular</t>
        </is>
      </c>
      <c r="D23" s="16" t="inlineStr">
        <is>
          <t>Nose wrinkler</t>
        </is>
      </c>
      <c r="E23" s="16" t="inlineStr">
        <is>
          <t>Raw</t>
        </is>
      </c>
      <c r="F23" s="16" t="inlineStr">
        <is>
          <t>0.0-1.0 activation</t>
        </is>
      </c>
      <c r="G23" s="17" t="n">
        <v>30</v>
      </c>
      <c r="H23" s="18" t="inlineStr">
        <is>
          <t>Measured</t>
        </is>
      </c>
      <c r="I23" s="19" t="inlineStr">
        <is>
          <t>Implemented</t>
        </is>
      </c>
      <c r="J23" s="20" t="inlineStr">
        <is>
          <t>Disgust component; rare, so high-signal when present</t>
        </is>
      </c>
      <c r="K23" s="20" t="inlineStr">
        <is>
          <t>Nose itch, allergies, spectacle bridge pressure</t>
        </is>
      </c>
    </row>
    <row r="24">
      <c r="A24" s="15" t="inlineStr">
        <is>
          <t>face.AU09_L</t>
        </is>
      </c>
      <c r="B24" s="16" t="inlineStr">
        <is>
          <t>A Facial action units</t>
        </is>
      </c>
      <c r="C24" s="16" t="inlineStr">
        <is>
          <t>A2 Mid face / periocular</t>
        </is>
      </c>
      <c r="D24" s="16" t="inlineStr">
        <is>
          <t>Nose wrinkler — left side</t>
        </is>
      </c>
      <c r="E24" s="16" t="inlineStr">
        <is>
          <t>Raw</t>
        </is>
      </c>
      <c r="F24" s="16" t="inlineStr">
        <is>
          <t>0.0-1.0</t>
        </is>
      </c>
      <c r="G24" s="17" t="n">
        <v>30</v>
      </c>
      <c r="H24" s="18" t="inlineStr">
        <is>
          <t>Measured</t>
        </is>
      </c>
      <c r="I24" s="19" t="inlineStr">
        <is>
          <t>Implemented</t>
        </is>
      </c>
      <c r="J24" s="20" t="inlineStr">
        <is>
          <t>Left-hemiface activation, measured independently</t>
        </is>
      </c>
      <c r="K24" s="20" t="inlineStr">
        <is>
          <t>Nose itch, allergies, spectacle bridge pressure</t>
        </is>
      </c>
    </row>
    <row r="25">
      <c r="A25" s="15" t="inlineStr">
        <is>
          <t>face.AU09_R</t>
        </is>
      </c>
      <c r="B25" s="16" t="inlineStr">
        <is>
          <t>A Facial action units</t>
        </is>
      </c>
      <c r="C25" s="16" t="inlineStr">
        <is>
          <t>A2 Mid face / periocular</t>
        </is>
      </c>
      <c r="D25" s="16" t="inlineStr">
        <is>
          <t>Nose wrinkler — right side</t>
        </is>
      </c>
      <c r="E25" s="16" t="inlineStr">
        <is>
          <t>Raw</t>
        </is>
      </c>
      <c r="F25" s="16" t="inlineStr">
        <is>
          <t>0.0-1.0</t>
        </is>
      </c>
      <c r="G25" s="17" t="n">
        <v>30</v>
      </c>
      <c r="H25" s="18" t="inlineStr">
        <is>
          <t>Measured</t>
        </is>
      </c>
      <c r="I25" s="19" t="inlineStr">
        <is>
          <t>Implemented</t>
        </is>
      </c>
      <c r="J25" s="20" t="inlineStr">
        <is>
          <t>Right-hemiface activation, measured independently</t>
        </is>
      </c>
      <c r="K25" s="20" t="inlineStr">
        <is>
          <t>Nose itch, allergies, spectacle bridge pressure</t>
        </is>
      </c>
    </row>
    <row r="26">
      <c r="A26" s="15" t="inlineStr">
        <is>
          <t>face.AU09_asym</t>
        </is>
      </c>
      <c r="B26" s="16" t="inlineStr">
        <is>
          <t>A Facial action units</t>
        </is>
      </c>
      <c r="C26" s="16" t="inlineStr">
        <is>
          <t>A4 Asymmetry</t>
        </is>
      </c>
      <c r="D26" s="16" t="inlineStr">
        <is>
          <t>Nose wrinkler — asymmetry</t>
        </is>
      </c>
      <c r="E26" s="16" t="inlineStr">
        <is>
          <t>Derived</t>
        </is>
      </c>
      <c r="F26" s="16" t="inlineStr">
        <is>
          <t>0.0-1.0 (|L-R|)</t>
        </is>
      </c>
      <c r="G26" s="17" t="n">
        <v>30</v>
      </c>
      <c r="H26" s="21" t="inlineStr">
        <is>
          <t>Weak inference</t>
        </is>
      </c>
      <c r="I26" s="19" t="inlineStr">
        <is>
          <t>Implemented</t>
        </is>
      </c>
      <c r="J26" s="20" t="inlineStr">
        <is>
          <t>Left-right imbalance. Spontaneous expressions are more symmetric than posed ones as a population tendency</t>
        </is>
      </c>
      <c r="K26" s="20" t="inlineStr">
        <is>
          <t>Facial nerve variation, unilateral habit, camera angle. Never a per-person verdict</t>
        </is>
      </c>
    </row>
    <row r="27">
      <c r="A27" s="15" t="inlineStr">
        <is>
          <t>face.AU45</t>
        </is>
      </c>
      <c r="B27" s="16" t="inlineStr">
        <is>
          <t>A Facial action units</t>
        </is>
      </c>
      <c r="C27" s="16" t="inlineStr">
        <is>
          <t>A2 Mid face / periocular</t>
        </is>
      </c>
      <c r="D27" s="16" t="inlineStr">
        <is>
          <t>Blink</t>
        </is>
      </c>
      <c r="E27" s="16" t="inlineStr">
        <is>
          <t>Raw</t>
        </is>
      </c>
      <c r="F27" s="16" t="inlineStr">
        <is>
          <t>0.0-1.0 activation</t>
        </is>
      </c>
      <c r="G27" s="17" t="n">
        <v>30</v>
      </c>
      <c r="H27" s="18" t="inlineStr">
        <is>
          <t>Measured</t>
        </is>
      </c>
      <c r="I27" s="19" t="inlineStr">
        <is>
          <t>Implemented</t>
        </is>
      </c>
      <c r="J27" s="20" t="inlineStr">
        <is>
          <t>Blink. Rate and interval track cognitive load</t>
        </is>
      </c>
      <c r="K27" s="20" t="inlineStr">
        <is>
          <t>Contact lenses, dry air, screen exposure, air conditioning</t>
        </is>
      </c>
    </row>
    <row r="28">
      <c r="A28" s="15" t="inlineStr">
        <is>
          <t>face.AU45_L</t>
        </is>
      </c>
      <c r="B28" s="16" t="inlineStr">
        <is>
          <t>A Facial action units</t>
        </is>
      </c>
      <c r="C28" s="16" t="inlineStr">
        <is>
          <t>A2 Mid face / periocular</t>
        </is>
      </c>
      <c r="D28" s="16" t="inlineStr">
        <is>
          <t>Blink — left side</t>
        </is>
      </c>
      <c r="E28" s="16" t="inlineStr">
        <is>
          <t>Raw</t>
        </is>
      </c>
      <c r="F28" s="16" t="inlineStr">
        <is>
          <t>0.0-1.0</t>
        </is>
      </c>
      <c r="G28" s="17" t="n">
        <v>30</v>
      </c>
      <c r="H28" s="18" t="inlineStr">
        <is>
          <t>Measured</t>
        </is>
      </c>
      <c r="I28" s="19" t="inlineStr">
        <is>
          <t>Implemented</t>
        </is>
      </c>
      <c r="J28" s="20" t="inlineStr">
        <is>
          <t>Left-hemiface activation, measured independently</t>
        </is>
      </c>
      <c r="K28" s="20" t="inlineStr">
        <is>
          <t>Contact lenses, dry air, screen exposure, air conditioning</t>
        </is>
      </c>
    </row>
    <row r="29">
      <c r="A29" s="15" t="inlineStr">
        <is>
          <t>face.AU45_R</t>
        </is>
      </c>
      <c r="B29" s="16" t="inlineStr">
        <is>
          <t>A Facial action units</t>
        </is>
      </c>
      <c r="C29" s="16" t="inlineStr">
        <is>
          <t>A2 Mid face / periocular</t>
        </is>
      </c>
      <c r="D29" s="16" t="inlineStr">
        <is>
          <t>Blink — right side</t>
        </is>
      </c>
      <c r="E29" s="16" t="inlineStr">
        <is>
          <t>Raw</t>
        </is>
      </c>
      <c r="F29" s="16" t="inlineStr">
        <is>
          <t>0.0-1.0</t>
        </is>
      </c>
      <c r="G29" s="17" t="n">
        <v>30</v>
      </c>
      <c r="H29" s="18" t="inlineStr">
        <is>
          <t>Measured</t>
        </is>
      </c>
      <c r="I29" s="19" t="inlineStr">
        <is>
          <t>Implemented</t>
        </is>
      </c>
      <c r="J29" s="20" t="inlineStr">
        <is>
          <t>Right-hemiface activation, measured independently</t>
        </is>
      </c>
      <c r="K29" s="20" t="inlineStr">
        <is>
          <t>Contact lenses, dry air, screen exposure, air conditioning</t>
        </is>
      </c>
    </row>
    <row r="30">
      <c r="A30" s="15" t="inlineStr">
        <is>
          <t>face.AU45_asym</t>
        </is>
      </c>
      <c r="B30" s="16" t="inlineStr">
        <is>
          <t>A Facial action units</t>
        </is>
      </c>
      <c r="C30" s="16" t="inlineStr">
        <is>
          <t>A4 Asymmetry</t>
        </is>
      </c>
      <c r="D30" s="16" t="inlineStr">
        <is>
          <t>Blink — asymmetry</t>
        </is>
      </c>
      <c r="E30" s="16" t="inlineStr">
        <is>
          <t>Derived</t>
        </is>
      </c>
      <c r="F30" s="16" t="inlineStr">
        <is>
          <t>0.0-1.0 (|L-R|)</t>
        </is>
      </c>
      <c r="G30" s="17" t="n">
        <v>30</v>
      </c>
      <c r="H30" s="21" t="inlineStr">
        <is>
          <t>Weak inference</t>
        </is>
      </c>
      <c r="I30" s="19" t="inlineStr">
        <is>
          <t>Implemented</t>
        </is>
      </c>
      <c r="J30" s="20" t="inlineStr">
        <is>
          <t>Left-right imbalance. Spontaneous expressions are more symmetric than posed ones as a population tendency</t>
        </is>
      </c>
      <c r="K30" s="20" t="inlineStr">
        <is>
          <t>Facial nerve variation, unilateral habit, camera angle. Never a per-person verdict</t>
        </is>
      </c>
    </row>
    <row r="31">
      <c r="A31" s="15" t="inlineStr">
        <is>
          <t>face.AU10</t>
        </is>
      </c>
      <c r="B31" s="16" t="inlineStr">
        <is>
          <t>A Facial action units</t>
        </is>
      </c>
      <c r="C31" s="16" t="inlineStr">
        <is>
          <t>A3 Lower face</t>
        </is>
      </c>
      <c r="D31" s="16" t="inlineStr">
        <is>
          <t>Upper lip raiser</t>
        </is>
      </c>
      <c r="E31" s="16" t="inlineStr">
        <is>
          <t>Raw</t>
        </is>
      </c>
      <c r="F31" s="16" t="inlineStr">
        <is>
          <t>0.0-1.0 activation</t>
        </is>
      </c>
      <c r="G31" s="17" t="n">
        <v>30</v>
      </c>
      <c r="H31" s="18" t="inlineStr">
        <is>
          <t>Measured</t>
        </is>
      </c>
      <c r="I31" s="19" t="inlineStr">
        <is>
          <t>Implemented</t>
        </is>
      </c>
      <c r="J31" s="20" t="inlineStr">
        <is>
          <t>Contempt or disgust component; also speech articulation</t>
        </is>
      </c>
      <c r="K31" s="20" t="inlineStr">
        <is>
          <t>Fires on ordinary phoneme production</t>
        </is>
      </c>
    </row>
    <row r="32">
      <c r="A32" s="15" t="inlineStr">
        <is>
          <t>face.AU12</t>
        </is>
      </c>
      <c r="B32" s="16" t="inlineStr">
        <is>
          <t>A Facial action units</t>
        </is>
      </c>
      <c r="C32" s="16" t="inlineStr">
        <is>
          <t>A3 Lower face</t>
        </is>
      </c>
      <c r="D32" s="16" t="inlineStr">
        <is>
          <t>Lip corner puller (smile)</t>
        </is>
      </c>
      <c r="E32" s="16" t="inlineStr">
        <is>
          <t>Raw</t>
        </is>
      </c>
      <c r="F32" s="16" t="inlineStr">
        <is>
          <t>0.0-1.0 activation</t>
        </is>
      </c>
      <c r="G32" s="17" t="n">
        <v>30</v>
      </c>
      <c r="H32" s="18" t="inlineStr">
        <is>
          <t>Measured</t>
        </is>
      </c>
      <c r="I32" s="19" t="inlineStr">
        <is>
          <t>Implemented</t>
        </is>
      </c>
      <c r="J32" s="20" t="inlineStr">
        <is>
          <t>Smile. The single most-reported AU and the most over-read</t>
        </is>
      </c>
      <c r="K32" s="20" t="inlineStr">
        <is>
          <t>Polite/social smiling is near-continuous in some cultures</t>
        </is>
      </c>
    </row>
    <row r="33">
      <c r="A33" s="15" t="inlineStr">
        <is>
          <t>face.AU12_L</t>
        </is>
      </c>
      <c r="B33" s="16" t="inlineStr">
        <is>
          <t>A Facial action units</t>
        </is>
      </c>
      <c r="C33" s="16" t="inlineStr">
        <is>
          <t>A3 Lower face</t>
        </is>
      </c>
      <c r="D33" s="16" t="inlineStr">
        <is>
          <t>Lip corner puller (smile) — left side</t>
        </is>
      </c>
      <c r="E33" s="16" t="inlineStr">
        <is>
          <t>Raw</t>
        </is>
      </c>
      <c r="F33" s="16" t="inlineStr">
        <is>
          <t>0.0-1.0</t>
        </is>
      </c>
      <c r="G33" s="17" t="n">
        <v>30</v>
      </c>
      <c r="H33" s="18" t="inlineStr">
        <is>
          <t>Measured</t>
        </is>
      </c>
      <c r="I33" s="19" t="inlineStr">
        <is>
          <t>Implemented</t>
        </is>
      </c>
      <c r="J33" s="20" t="inlineStr">
        <is>
          <t>Left-hemiface activation, measured independently</t>
        </is>
      </c>
      <c r="K33" s="20" t="inlineStr">
        <is>
          <t>Polite/social smiling is near-continuous in some cultures</t>
        </is>
      </c>
    </row>
    <row r="34">
      <c r="A34" s="15" t="inlineStr">
        <is>
          <t>face.AU12_R</t>
        </is>
      </c>
      <c r="B34" s="16" t="inlineStr">
        <is>
          <t>A Facial action units</t>
        </is>
      </c>
      <c r="C34" s="16" t="inlineStr">
        <is>
          <t>A3 Lower face</t>
        </is>
      </c>
      <c r="D34" s="16" t="inlineStr">
        <is>
          <t>Lip corner puller (smile) — right side</t>
        </is>
      </c>
      <c r="E34" s="16" t="inlineStr">
        <is>
          <t>Raw</t>
        </is>
      </c>
      <c r="F34" s="16" t="inlineStr">
        <is>
          <t>0.0-1.0</t>
        </is>
      </c>
      <c r="G34" s="17" t="n">
        <v>30</v>
      </c>
      <c r="H34" s="18" t="inlineStr">
        <is>
          <t>Measured</t>
        </is>
      </c>
      <c r="I34" s="19" t="inlineStr">
        <is>
          <t>Implemented</t>
        </is>
      </c>
      <c r="J34" s="20" t="inlineStr">
        <is>
          <t>Right-hemiface activation, measured independently</t>
        </is>
      </c>
      <c r="K34" s="20" t="inlineStr">
        <is>
          <t>Polite/social smiling is near-continuous in some cultures</t>
        </is>
      </c>
    </row>
    <row r="35">
      <c r="A35" s="15" t="inlineStr">
        <is>
          <t>face.AU12_asym</t>
        </is>
      </c>
      <c r="B35" s="16" t="inlineStr">
        <is>
          <t>A Facial action units</t>
        </is>
      </c>
      <c r="C35" s="16" t="inlineStr">
        <is>
          <t>A4 Asymmetry</t>
        </is>
      </c>
      <c r="D35" s="16" t="inlineStr">
        <is>
          <t>Lip corner puller (smile) — asymmetry</t>
        </is>
      </c>
      <c r="E35" s="16" t="inlineStr">
        <is>
          <t>Derived</t>
        </is>
      </c>
      <c r="F35" s="16" t="inlineStr">
        <is>
          <t>0.0-1.0 (|L-R|)</t>
        </is>
      </c>
      <c r="G35" s="17" t="n">
        <v>30</v>
      </c>
      <c r="H35" s="21" t="inlineStr">
        <is>
          <t>Weak inference</t>
        </is>
      </c>
      <c r="I35" s="19" t="inlineStr">
        <is>
          <t>Implemented</t>
        </is>
      </c>
      <c r="J35" s="20" t="inlineStr">
        <is>
          <t>Left-right imbalance. Spontaneous expressions are more symmetric than posed ones as a population tendency</t>
        </is>
      </c>
      <c r="K35" s="20" t="inlineStr">
        <is>
          <t>Facial nerve variation, unilateral habit, camera angle. Never a per-person verdict</t>
        </is>
      </c>
    </row>
    <row r="36">
      <c r="A36" s="15" t="inlineStr">
        <is>
          <t>face.AU14</t>
        </is>
      </c>
      <c r="B36" s="16" t="inlineStr">
        <is>
          <t>A Facial action units</t>
        </is>
      </c>
      <c r="C36" s="16" t="inlineStr">
        <is>
          <t>A3 Lower face</t>
        </is>
      </c>
      <c r="D36" s="16" t="inlineStr">
        <is>
          <t>Dimpler</t>
        </is>
      </c>
      <c r="E36" s="16" t="inlineStr">
        <is>
          <t>Raw</t>
        </is>
      </c>
      <c r="F36" s="16" t="inlineStr">
        <is>
          <t>0.0-1.0 activation</t>
        </is>
      </c>
      <c r="G36" s="17" t="n">
        <v>30</v>
      </c>
      <c r="H36" s="18" t="inlineStr">
        <is>
          <t>Measured</t>
        </is>
      </c>
      <c r="I36" s="19" t="inlineStr">
        <is>
          <t>Implemented</t>
        </is>
      </c>
      <c r="J36" s="20" t="inlineStr">
        <is>
          <t>Contempt, scepticism, or wry acknowledgement</t>
        </is>
      </c>
      <c r="K36" s="20" t="inlineStr">
        <is>
          <t>Very low base rate; noisy estimator</t>
        </is>
      </c>
    </row>
    <row r="37">
      <c r="A37" s="15" t="inlineStr">
        <is>
          <t>face.AU14_L</t>
        </is>
      </c>
      <c r="B37" s="16" t="inlineStr">
        <is>
          <t>A Facial action units</t>
        </is>
      </c>
      <c r="C37" s="16" t="inlineStr">
        <is>
          <t>A3 Lower face</t>
        </is>
      </c>
      <c r="D37" s="16" t="inlineStr">
        <is>
          <t>Dimpler — left side</t>
        </is>
      </c>
      <c r="E37" s="16" t="inlineStr">
        <is>
          <t>Raw</t>
        </is>
      </c>
      <c r="F37" s="16" t="inlineStr">
        <is>
          <t>0.0-1.0</t>
        </is>
      </c>
      <c r="G37" s="17" t="n">
        <v>30</v>
      </c>
      <c r="H37" s="18" t="inlineStr">
        <is>
          <t>Measured</t>
        </is>
      </c>
      <c r="I37" s="19" t="inlineStr">
        <is>
          <t>Implemented</t>
        </is>
      </c>
      <c r="J37" s="20" t="inlineStr">
        <is>
          <t>Left-hemiface activation, measured independently</t>
        </is>
      </c>
      <c r="K37" s="20" t="inlineStr">
        <is>
          <t>Very low base rate; noisy estimator</t>
        </is>
      </c>
    </row>
    <row r="38">
      <c r="A38" s="15" t="inlineStr">
        <is>
          <t>face.AU14_R</t>
        </is>
      </c>
      <c r="B38" s="16" t="inlineStr">
        <is>
          <t>A Facial action units</t>
        </is>
      </c>
      <c r="C38" s="16" t="inlineStr">
        <is>
          <t>A3 Lower face</t>
        </is>
      </c>
      <c r="D38" s="16" t="inlineStr">
        <is>
          <t>Dimpler — right side</t>
        </is>
      </c>
      <c r="E38" s="16" t="inlineStr">
        <is>
          <t>Raw</t>
        </is>
      </c>
      <c r="F38" s="16" t="inlineStr">
        <is>
          <t>0.0-1.0</t>
        </is>
      </c>
      <c r="G38" s="17" t="n">
        <v>30</v>
      </c>
      <c r="H38" s="18" t="inlineStr">
        <is>
          <t>Measured</t>
        </is>
      </c>
      <c r="I38" s="19" t="inlineStr">
        <is>
          <t>Implemented</t>
        </is>
      </c>
      <c r="J38" s="20" t="inlineStr">
        <is>
          <t>Right-hemiface activation, measured independently</t>
        </is>
      </c>
      <c r="K38" s="20" t="inlineStr">
        <is>
          <t>Very low base rate; noisy estimator</t>
        </is>
      </c>
    </row>
    <row r="39">
      <c r="A39" s="15" t="inlineStr">
        <is>
          <t>face.AU14_asym</t>
        </is>
      </c>
      <c r="B39" s="16" t="inlineStr">
        <is>
          <t>A Facial action units</t>
        </is>
      </c>
      <c r="C39" s="16" t="inlineStr">
        <is>
          <t>A4 Asymmetry</t>
        </is>
      </c>
      <c r="D39" s="16" t="inlineStr">
        <is>
          <t>Dimpler — asymmetry</t>
        </is>
      </c>
      <c r="E39" s="16" t="inlineStr">
        <is>
          <t>Derived</t>
        </is>
      </c>
      <c r="F39" s="16" t="inlineStr">
        <is>
          <t>0.0-1.0 (|L-R|)</t>
        </is>
      </c>
      <c r="G39" s="17" t="n">
        <v>30</v>
      </c>
      <c r="H39" s="21" t="inlineStr">
        <is>
          <t>Weak inference</t>
        </is>
      </c>
      <c r="I39" s="19" t="inlineStr">
        <is>
          <t>Implemented</t>
        </is>
      </c>
      <c r="J39" s="20" t="inlineStr">
        <is>
          <t>Left-right imbalance. Spontaneous expressions are more symmetric than posed ones as a population tendency</t>
        </is>
      </c>
      <c r="K39" s="20" t="inlineStr">
        <is>
          <t>Facial nerve variation, unilateral habit, camera angle. Never a per-person verdict</t>
        </is>
      </c>
    </row>
    <row r="40">
      <c r="A40" s="15" t="inlineStr">
        <is>
          <t>face.AU15</t>
        </is>
      </c>
      <c r="B40" s="16" t="inlineStr">
        <is>
          <t>A Facial action units</t>
        </is>
      </c>
      <c r="C40" s="16" t="inlineStr">
        <is>
          <t>A3 Lower face</t>
        </is>
      </c>
      <c r="D40" s="16" t="inlineStr">
        <is>
          <t>Lip corner depressor</t>
        </is>
      </c>
      <c r="E40" s="16" t="inlineStr">
        <is>
          <t>Raw</t>
        </is>
      </c>
      <c r="F40" s="16" t="inlineStr">
        <is>
          <t>0.0-1.0 activation</t>
        </is>
      </c>
      <c r="G40" s="17" t="n">
        <v>30</v>
      </c>
      <c r="H40" s="18" t="inlineStr">
        <is>
          <t>Measured</t>
        </is>
      </c>
      <c r="I40" s="19" t="inlineStr">
        <is>
          <t>Implemented</t>
        </is>
      </c>
      <c r="J40" s="20" t="inlineStr">
        <is>
          <t>Sadness or disappointment component</t>
        </is>
      </c>
      <c r="K40" s="20" t="inlineStr">
        <is>
          <t>Resting face anatomy; some faces sit here at neutral</t>
        </is>
      </c>
    </row>
    <row r="41">
      <c r="A41" s="15" t="inlineStr">
        <is>
          <t>face.AU15_L</t>
        </is>
      </c>
      <c r="B41" s="16" t="inlineStr">
        <is>
          <t>A Facial action units</t>
        </is>
      </c>
      <c r="C41" s="16" t="inlineStr">
        <is>
          <t>A3 Lower face</t>
        </is>
      </c>
      <c r="D41" s="16" t="inlineStr">
        <is>
          <t>Lip corner depressor — left side</t>
        </is>
      </c>
      <c r="E41" s="16" t="inlineStr">
        <is>
          <t>Raw</t>
        </is>
      </c>
      <c r="F41" s="16" t="inlineStr">
        <is>
          <t>0.0-1.0</t>
        </is>
      </c>
      <c r="G41" s="17" t="n">
        <v>30</v>
      </c>
      <c r="H41" s="18" t="inlineStr">
        <is>
          <t>Measured</t>
        </is>
      </c>
      <c r="I41" s="19" t="inlineStr">
        <is>
          <t>Implemented</t>
        </is>
      </c>
      <c r="J41" s="20" t="inlineStr">
        <is>
          <t>Left-hemiface activation, measured independently</t>
        </is>
      </c>
      <c r="K41" s="20" t="inlineStr">
        <is>
          <t>Resting face anatomy; some faces sit here at neutral</t>
        </is>
      </c>
    </row>
    <row r="42">
      <c r="A42" s="15" t="inlineStr">
        <is>
          <t>face.AU15_R</t>
        </is>
      </c>
      <c r="B42" s="16" t="inlineStr">
        <is>
          <t>A Facial action units</t>
        </is>
      </c>
      <c r="C42" s="16" t="inlineStr">
        <is>
          <t>A3 Lower face</t>
        </is>
      </c>
      <c r="D42" s="16" t="inlineStr">
        <is>
          <t>Lip corner depressor — right side</t>
        </is>
      </c>
      <c r="E42" s="16" t="inlineStr">
        <is>
          <t>Raw</t>
        </is>
      </c>
      <c r="F42" s="16" t="inlineStr">
        <is>
          <t>0.0-1.0</t>
        </is>
      </c>
      <c r="G42" s="17" t="n">
        <v>30</v>
      </c>
      <c r="H42" s="18" t="inlineStr">
        <is>
          <t>Measured</t>
        </is>
      </c>
      <c r="I42" s="19" t="inlineStr">
        <is>
          <t>Implemented</t>
        </is>
      </c>
      <c r="J42" s="20" t="inlineStr">
        <is>
          <t>Right-hemiface activation, measured independently</t>
        </is>
      </c>
      <c r="K42" s="20" t="inlineStr">
        <is>
          <t>Resting face anatomy; some faces sit here at neutral</t>
        </is>
      </c>
    </row>
    <row r="43">
      <c r="A43" s="15" t="inlineStr">
        <is>
          <t>face.AU15_asym</t>
        </is>
      </c>
      <c r="B43" s="16" t="inlineStr">
        <is>
          <t>A Facial action units</t>
        </is>
      </c>
      <c r="C43" s="16" t="inlineStr">
        <is>
          <t>A4 Asymmetry</t>
        </is>
      </c>
      <c r="D43" s="16" t="inlineStr">
        <is>
          <t>Lip corner depressor — asymmetry</t>
        </is>
      </c>
      <c r="E43" s="16" t="inlineStr">
        <is>
          <t>Derived</t>
        </is>
      </c>
      <c r="F43" s="16" t="inlineStr">
        <is>
          <t>0.0-1.0 (|L-R|)</t>
        </is>
      </c>
      <c r="G43" s="17" t="n">
        <v>30</v>
      </c>
      <c r="H43" s="21" t="inlineStr">
        <is>
          <t>Weak inference</t>
        </is>
      </c>
      <c r="I43" s="19" t="inlineStr">
        <is>
          <t>Implemented</t>
        </is>
      </c>
      <c r="J43" s="20" t="inlineStr">
        <is>
          <t>Left-right imbalance. Spontaneous expressions are more symmetric than posed ones as a population tendency</t>
        </is>
      </c>
      <c r="K43" s="20" t="inlineStr">
        <is>
          <t>Facial nerve variation, unilateral habit, camera angle. Never a per-person verdict</t>
        </is>
      </c>
    </row>
    <row r="44">
      <c r="A44" s="15" t="inlineStr">
        <is>
          <t>face.AU16</t>
        </is>
      </c>
      <c r="B44" s="16" t="inlineStr">
        <is>
          <t>A Facial action units</t>
        </is>
      </c>
      <c r="C44" s="16" t="inlineStr">
        <is>
          <t>A3 Lower face</t>
        </is>
      </c>
      <c r="D44" s="16" t="inlineStr">
        <is>
          <t>Lower lip depressor</t>
        </is>
      </c>
      <c r="E44" s="16" t="inlineStr">
        <is>
          <t>Raw</t>
        </is>
      </c>
      <c r="F44" s="16" t="inlineStr">
        <is>
          <t>0.0-1.0 activation</t>
        </is>
      </c>
      <c r="G44" s="17" t="n">
        <v>30</v>
      </c>
      <c r="H44" s="18" t="inlineStr">
        <is>
          <t>Measured</t>
        </is>
      </c>
      <c r="I44" s="19" t="inlineStr">
        <is>
          <t>Implemented</t>
        </is>
      </c>
      <c r="J44" s="20" t="inlineStr">
        <is>
          <t>Speech articulation, occasionally disgust</t>
        </is>
      </c>
      <c r="K44" s="20" t="inlineStr">
        <is>
          <t>Almost entirely speech-driven</t>
        </is>
      </c>
    </row>
    <row r="45">
      <c r="A45" s="15" t="inlineStr">
        <is>
          <t>face.AU16_L</t>
        </is>
      </c>
      <c r="B45" s="16" t="inlineStr">
        <is>
          <t>A Facial action units</t>
        </is>
      </c>
      <c r="C45" s="16" t="inlineStr">
        <is>
          <t>A3 Lower face</t>
        </is>
      </c>
      <c r="D45" s="16" t="inlineStr">
        <is>
          <t>Lower lip depressor — left side</t>
        </is>
      </c>
      <c r="E45" s="16" t="inlineStr">
        <is>
          <t>Raw</t>
        </is>
      </c>
      <c r="F45" s="16" t="inlineStr">
        <is>
          <t>0.0-1.0</t>
        </is>
      </c>
      <c r="G45" s="17" t="n">
        <v>30</v>
      </c>
      <c r="H45" s="18" t="inlineStr">
        <is>
          <t>Measured</t>
        </is>
      </c>
      <c r="I45" s="19" t="inlineStr">
        <is>
          <t>Implemented</t>
        </is>
      </c>
      <c r="J45" s="20" t="inlineStr">
        <is>
          <t>Left-hemiface activation, measured independently</t>
        </is>
      </c>
      <c r="K45" s="20" t="inlineStr">
        <is>
          <t>Almost entirely speech-driven</t>
        </is>
      </c>
    </row>
    <row r="46">
      <c r="A46" s="15" t="inlineStr">
        <is>
          <t>face.AU16_R</t>
        </is>
      </c>
      <c r="B46" s="16" t="inlineStr">
        <is>
          <t>A Facial action units</t>
        </is>
      </c>
      <c r="C46" s="16" t="inlineStr">
        <is>
          <t>A3 Lower face</t>
        </is>
      </c>
      <c r="D46" s="16" t="inlineStr">
        <is>
          <t>Lower lip depressor — right side</t>
        </is>
      </c>
      <c r="E46" s="16" t="inlineStr">
        <is>
          <t>Raw</t>
        </is>
      </c>
      <c r="F46" s="16" t="inlineStr">
        <is>
          <t>0.0-1.0</t>
        </is>
      </c>
      <c r="G46" s="17" t="n">
        <v>30</v>
      </c>
      <c r="H46" s="18" t="inlineStr">
        <is>
          <t>Measured</t>
        </is>
      </c>
      <c r="I46" s="19" t="inlineStr">
        <is>
          <t>Implemented</t>
        </is>
      </c>
      <c r="J46" s="20" t="inlineStr">
        <is>
          <t>Right-hemiface activation, measured independently</t>
        </is>
      </c>
      <c r="K46" s="20" t="inlineStr">
        <is>
          <t>Almost entirely speech-driven</t>
        </is>
      </c>
    </row>
    <row r="47">
      <c r="A47" s="15" t="inlineStr">
        <is>
          <t>face.AU16_asym</t>
        </is>
      </c>
      <c r="B47" s="16" t="inlineStr">
        <is>
          <t>A Facial action units</t>
        </is>
      </c>
      <c r="C47" s="16" t="inlineStr">
        <is>
          <t>A4 Asymmetry</t>
        </is>
      </c>
      <c r="D47" s="16" t="inlineStr">
        <is>
          <t>Lower lip depressor — asymmetry</t>
        </is>
      </c>
      <c r="E47" s="16" t="inlineStr">
        <is>
          <t>Derived</t>
        </is>
      </c>
      <c r="F47" s="16" t="inlineStr">
        <is>
          <t>0.0-1.0 (|L-R|)</t>
        </is>
      </c>
      <c r="G47" s="17" t="n">
        <v>30</v>
      </c>
      <c r="H47" s="21" t="inlineStr">
        <is>
          <t>Weak inference</t>
        </is>
      </c>
      <c r="I47" s="19" t="inlineStr">
        <is>
          <t>Implemented</t>
        </is>
      </c>
      <c r="J47" s="20" t="inlineStr">
        <is>
          <t>Left-right imbalance. Spontaneous expressions are more symmetric than posed ones as a population tendency</t>
        </is>
      </c>
      <c r="K47" s="20" t="inlineStr">
        <is>
          <t>Facial nerve variation, unilateral habit, camera angle. Never a per-person verdict</t>
        </is>
      </c>
    </row>
    <row r="48">
      <c r="A48" s="15" t="inlineStr">
        <is>
          <t>face.AU17</t>
        </is>
      </c>
      <c r="B48" s="16" t="inlineStr">
        <is>
          <t>A Facial action units</t>
        </is>
      </c>
      <c r="C48" s="16" t="inlineStr">
        <is>
          <t>A3 Lower face</t>
        </is>
      </c>
      <c r="D48" s="16" t="inlineStr">
        <is>
          <t>Chin raiser</t>
        </is>
      </c>
      <c r="E48" s="16" t="inlineStr">
        <is>
          <t>Raw</t>
        </is>
      </c>
      <c r="F48" s="16" t="inlineStr">
        <is>
          <t>0.0-1.0 activation</t>
        </is>
      </c>
      <c r="G48" s="17" t="n">
        <v>30</v>
      </c>
      <c r="H48" s="18" t="inlineStr">
        <is>
          <t>Measured</t>
        </is>
      </c>
      <c r="I48" s="19" t="inlineStr">
        <is>
          <t>Implemented</t>
        </is>
      </c>
      <c r="J48" s="20" t="inlineStr">
        <is>
          <t>Doubt, suppressed disagreement, chin tension</t>
        </is>
      </c>
      <c r="K48" s="20" t="inlineStr">
        <is>
          <t>Overlaps heavily with speech</t>
        </is>
      </c>
    </row>
    <row r="49">
      <c r="A49" s="15" t="inlineStr">
        <is>
          <t>face.AU18</t>
        </is>
      </c>
      <c r="B49" s="16" t="inlineStr">
        <is>
          <t>A Facial action units</t>
        </is>
      </c>
      <c r="C49" s="16" t="inlineStr">
        <is>
          <t>A3 Lower face</t>
        </is>
      </c>
      <c r="D49" s="16" t="inlineStr">
        <is>
          <t>Lip pucker</t>
        </is>
      </c>
      <c r="E49" s="16" t="inlineStr">
        <is>
          <t>Raw</t>
        </is>
      </c>
      <c r="F49" s="16" t="inlineStr">
        <is>
          <t>0.0-1.0 activation</t>
        </is>
      </c>
      <c r="G49" s="17" t="n">
        <v>30</v>
      </c>
      <c r="H49" s="18" t="inlineStr">
        <is>
          <t>Measured</t>
        </is>
      </c>
      <c r="I49" s="19" t="inlineStr">
        <is>
          <t>Implemented</t>
        </is>
      </c>
      <c r="J49" s="20" t="inlineStr">
        <is>
          <t>Uncertainty, thinking, word-searching</t>
        </is>
      </c>
      <c r="K49" s="20" t="inlineStr">
        <is>
          <t>Speech articulation</t>
        </is>
      </c>
    </row>
    <row r="50">
      <c r="A50" s="15" t="inlineStr">
        <is>
          <t>face.AU20</t>
        </is>
      </c>
      <c r="B50" s="16" t="inlineStr">
        <is>
          <t>A Facial action units</t>
        </is>
      </c>
      <c r="C50" s="16" t="inlineStr">
        <is>
          <t>A3 Lower face</t>
        </is>
      </c>
      <c r="D50" s="16" t="inlineStr">
        <is>
          <t>Lip stretcher</t>
        </is>
      </c>
      <c r="E50" s="16" t="inlineStr">
        <is>
          <t>Raw</t>
        </is>
      </c>
      <c r="F50" s="16" t="inlineStr">
        <is>
          <t>0.0-1.0 activation</t>
        </is>
      </c>
      <c r="G50" s="17" t="n">
        <v>30</v>
      </c>
      <c r="H50" s="18" t="inlineStr">
        <is>
          <t>Measured</t>
        </is>
      </c>
      <c r="I50" s="19" t="inlineStr">
        <is>
          <t>Implemented</t>
        </is>
      </c>
      <c r="J50" s="20" t="inlineStr">
        <is>
          <t>Fear component; also tension and effortful speech</t>
        </is>
      </c>
      <c r="K50" s="20" t="inlineStr">
        <is>
          <t>Speech articulation</t>
        </is>
      </c>
    </row>
    <row r="51">
      <c r="A51" s="15" t="inlineStr">
        <is>
          <t>face.AU20_L</t>
        </is>
      </c>
      <c r="B51" s="16" t="inlineStr">
        <is>
          <t>A Facial action units</t>
        </is>
      </c>
      <c r="C51" s="16" t="inlineStr">
        <is>
          <t>A3 Lower face</t>
        </is>
      </c>
      <c r="D51" s="16" t="inlineStr">
        <is>
          <t>Lip stretcher — left side</t>
        </is>
      </c>
      <c r="E51" s="16" t="inlineStr">
        <is>
          <t>Raw</t>
        </is>
      </c>
      <c r="F51" s="16" t="inlineStr">
        <is>
          <t>0.0-1.0</t>
        </is>
      </c>
      <c r="G51" s="17" t="n">
        <v>30</v>
      </c>
      <c r="H51" s="18" t="inlineStr">
        <is>
          <t>Measured</t>
        </is>
      </c>
      <c r="I51" s="19" t="inlineStr">
        <is>
          <t>Implemented</t>
        </is>
      </c>
      <c r="J51" s="20" t="inlineStr">
        <is>
          <t>Left-hemiface activation, measured independently</t>
        </is>
      </c>
      <c r="K51" s="20" t="inlineStr">
        <is>
          <t>Speech articulation</t>
        </is>
      </c>
    </row>
    <row r="52">
      <c r="A52" s="15" t="inlineStr">
        <is>
          <t>face.AU20_R</t>
        </is>
      </c>
      <c r="B52" s="16" t="inlineStr">
        <is>
          <t>A Facial action units</t>
        </is>
      </c>
      <c r="C52" s="16" t="inlineStr">
        <is>
          <t>A3 Lower face</t>
        </is>
      </c>
      <c r="D52" s="16" t="inlineStr">
        <is>
          <t>Lip stretcher — right side</t>
        </is>
      </c>
      <c r="E52" s="16" t="inlineStr">
        <is>
          <t>Raw</t>
        </is>
      </c>
      <c r="F52" s="16" t="inlineStr">
        <is>
          <t>0.0-1.0</t>
        </is>
      </c>
      <c r="G52" s="17" t="n">
        <v>30</v>
      </c>
      <c r="H52" s="18" t="inlineStr">
        <is>
          <t>Measured</t>
        </is>
      </c>
      <c r="I52" s="19" t="inlineStr">
        <is>
          <t>Implemented</t>
        </is>
      </c>
      <c r="J52" s="20" t="inlineStr">
        <is>
          <t>Right-hemiface activation, measured independently</t>
        </is>
      </c>
      <c r="K52" s="20" t="inlineStr">
        <is>
          <t>Speech articulation</t>
        </is>
      </c>
    </row>
    <row r="53">
      <c r="A53" s="15" t="inlineStr">
        <is>
          <t>face.AU20_asym</t>
        </is>
      </c>
      <c r="B53" s="16" t="inlineStr">
        <is>
          <t>A Facial action units</t>
        </is>
      </c>
      <c r="C53" s="16" t="inlineStr">
        <is>
          <t>A4 Asymmetry</t>
        </is>
      </c>
      <c r="D53" s="16" t="inlineStr">
        <is>
          <t>Lip stretcher — asymmetry</t>
        </is>
      </c>
      <c r="E53" s="16" t="inlineStr">
        <is>
          <t>Derived</t>
        </is>
      </c>
      <c r="F53" s="16" t="inlineStr">
        <is>
          <t>0.0-1.0 (|L-R|)</t>
        </is>
      </c>
      <c r="G53" s="17" t="n">
        <v>30</v>
      </c>
      <c r="H53" s="21" t="inlineStr">
        <is>
          <t>Weak inference</t>
        </is>
      </c>
      <c r="I53" s="19" t="inlineStr">
        <is>
          <t>Implemented</t>
        </is>
      </c>
      <c r="J53" s="20" t="inlineStr">
        <is>
          <t>Left-right imbalance. Spontaneous expressions are more symmetric than posed ones as a population tendency</t>
        </is>
      </c>
      <c r="K53" s="20" t="inlineStr">
        <is>
          <t>Facial nerve variation, unilateral habit, camera angle. Never a per-person verdict</t>
        </is>
      </c>
    </row>
    <row r="54">
      <c r="A54" s="15" t="inlineStr">
        <is>
          <t>face.AU22</t>
        </is>
      </c>
      <c r="B54" s="16" t="inlineStr">
        <is>
          <t>A Facial action units</t>
        </is>
      </c>
      <c r="C54" s="16" t="inlineStr">
        <is>
          <t>A3 Lower face</t>
        </is>
      </c>
      <c r="D54" s="16" t="inlineStr">
        <is>
          <t>Lip funneler</t>
        </is>
      </c>
      <c r="E54" s="16" t="inlineStr">
        <is>
          <t>Raw</t>
        </is>
      </c>
      <c r="F54" s="16" t="inlineStr">
        <is>
          <t>0.0-1.0 activation</t>
        </is>
      </c>
      <c r="G54" s="17" t="n">
        <v>30</v>
      </c>
      <c r="H54" s="18" t="inlineStr">
        <is>
          <t>Measured</t>
        </is>
      </c>
      <c r="I54" s="19" t="inlineStr">
        <is>
          <t>Implemented</t>
        </is>
      </c>
      <c r="J54" s="20" t="inlineStr">
        <is>
          <t>Speech articulation (rounded vowels)</t>
        </is>
      </c>
      <c r="K54" s="20" t="inlineStr">
        <is>
          <t>Essentially a speech artefact in an interview</t>
        </is>
      </c>
    </row>
    <row r="55">
      <c r="A55" s="15" t="inlineStr">
        <is>
          <t>face.AU24</t>
        </is>
      </c>
      <c r="B55" s="16" t="inlineStr">
        <is>
          <t>A Facial action units</t>
        </is>
      </c>
      <c r="C55" s="16" t="inlineStr">
        <is>
          <t>A3 Lower face</t>
        </is>
      </c>
      <c r="D55" s="16" t="inlineStr">
        <is>
          <t>Lip pressor</t>
        </is>
      </c>
      <c r="E55" s="16" t="inlineStr">
        <is>
          <t>Raw</t>
        </is>
      </c>
      <c r="F55" s="16" t="inlineStr">
        <is>
          <t>0.0-1.0 activation</t>
        </is>
      </c>
      <c r="G55" s="17" t="n">
        <v>30</v>
      </c>
      <c r="H55" s="18" t="inlineStr">
        <is>
          <t>Measured</t>
        </is>
      </c>
      <c r="I55" s="19" t="inlineStr">
        <is>
          <t>Implemented</t>
        </is>
      </c>
      <c r="J55" s="20" t="inlineStr">
        <is>
          <t>Lip press: suppression, restraint, holding back a response</t>
        </is>
      </c>
      <c r="K55" s="20" t="inlineStr">
        <is>
          <t>Also just keeping the mouth closed while listening</t>
        </is>
      </c>
    </row>
    <row r="56">
      <c r="A56" s="15" t="inlineStr">
        <is>
          <t>face.AU24_L</t>
        </is>
      </c>
      <c r="B56" s="16" t="inlineStr">
        <is>
          <t>A Facial action units</t>
        </is>
      </c>
      <c r="C56" s="16" t="inlineStr">
        <is>
          <t>A3 Lower face</t>
        </is>
      </c>
      <c r="D56" s="16" t="inlineStr">
        <is>
          <t>Lip pressor — left side</t>
        </is>
      </c>
      <c r="E56" s="16" t="inlineStr">
        <is>
          <t>Raw</t>
        </is>
      </c>
      <c r="F56" s="16" t="inlineStr">
        <is>
          <t>0.0-1.0</t>
        </is>
      </c>
      <c r="G56" s="17" t="n">
        <v>30</v>
      </c>
      <c r="H56" s="18" t="inlineStr">
        <is>
          <t>Measured</t>
        </is>
      </c>
      <c r="I56" s="19" t="inlineStr">
        <is>
          <t>Implemented</t>
        </is>
      </c>
      <c r="J56" s="20" t="inlineStr">
        <is>
          <t>Left-hemiface activation, measured independently</t>
        </is>
      </c>
      <c r="K56" s="20" t="inlineStr">
        <is>
          <t>Also just keeping the mouth closed while listening</t>
        </is>
      </c>
    </row>
    <row r="57">
      <c r="A57" s="15" t="inlineStr">
        <is>
          <t>face.AU24_R</t>
        </is>
      </c>
      <c r="B57" s="16" t="inlineStr">
        <is>
          <t>A Facial action units</t>
        </is>
      </c>
      <c r="C57" s="16" t="inlineStr">
        <is>
          <t>A3 Lower face</t>
        </is>
      </c>
      <c r="D57" s="16" t="inlineStr">
        <is>
          <t>Lip pressor — right side</t>
        </is>
      </c>
      <c r="E57" s="16" t="inlineStr">
        <is>
          <t>Raw</t>
        </is>
      </c>
      <c r="F57" s="16" t="inlineStr">
        <is>
          <t>0.0-1.0</t>
        </is>
      </c>
      <c r="G57" s="17" t="n">
        <v>30</v>
      </c>
      <c r="H57" s="18" t="inlineStr">
        <is>
          <t>Measured</t>
        </is>
      </c>
      <c r="I57" s="19" t="inlineStr">
        <is>
          <t>Implemented</t>
        </is>
      </c>
      <c r="J57" s="20" t="inlineStr">
        <is>
          <t>Right-hemiface activation, measured independently</t>
        </is>
      </c>
      <c r="K57" s="20" t="inlineStr">
        <is>
          <t>Also just keeping the mouth closed while listening</t>
        </is>
      </c>
    </row>
    <row r="58">
      <c r="A58" s="15" t="inlineStr">
        <is>
          <t>face.AU24_asym</t>
        </is>
      </c>
      <c r="B58" s="16" t="inlineStr">
        <is>
          <t>A Facial action units</t>
        </is>
      </c>
      <c r="C58" s="16" t="inlineStr">
        <is>
          <t>A4 Asymmetry</t>
        </is>
      </c>
      <c r="D58" s="16" t="inlineStr">
        <is>
          <t>Lip pressor — asymmetry</t>
        </is>
      </c>
      <c r="E58" s="16" t="inlineStr">
        <is>
          <t>Derived</t>
        </is>
      </c>
      <c r="F58" s="16" t="inlineStr">
        <is>
          <t>0.0-1.0 (|L-R|)</t>
        </is>
      </c>
      <c r="G58" s="17" t="n">
        <v>30</v>
      </c>
      <c r="H58" s="21" t="inlineStr">
        <is>
          <t>Weak inference</t>
        </is>
      </c>
      <c r="I58" s="19" t="inlineStr">
        <is>
          <t>Implemented</t>
        </is>
      </c>
      <c r="J58" s="20" t="inlineStr">
        <is>
          <t>Left-right imbalance. Spontaneous expressions are more symmetric than posed ones as a population tendency</t>
        </is>
      </c>
      <c r="K58" s="20" t="inlineStr">
        <is>
          <t>Facial nerve variation, unilateral habit, camera angle. Never a per-person verdict</t>
        </is>
      </c>
    </row>
    <row r="59">
      <c r="A59" s="15" t="inlineStr">
        <is>
          <t>face.AU25</t>
        </is>
      </c>
      <c r="B59" s="16" t="inlineStr">
        <is>
          <t>A Facial action units</t>
        </is>
      </c>
      <c r="C59" s="16" t="inlineStr">
        <is>
          <t>A3 Lower face</t>
        </is>
      </c>
      <c r="D59" s="16" t="inlineStr">
        <is>
          <t>Lips part</t>
        </is>
      </c>
      <c r="E59" s="16" t="inlineStr">
        <is>
          <t>Raw</t>
        </is>
      </c>
      <c r="F59" s="16" t="inlineStr">
        <is>
          <t>0.0-1.0 activation</t>
        </is>
      </c>
      <c r="G59" s="17" t="n">
        <v>30</v>
      </c>
      <c r="H59" s="18" t="inlineStr">
        <is>
          <t>Measured</t>
        </is>
      </c>
      <c r="I59" s="19" t="inlineStr">
        <is>
          <t>Implemented</t>
        </is>
      </c>
      <c r="J59" s="20" t="inlineStr">
        <is>
          <t>Lips parted: speaking, or open-mouth attentiveness</t>
        </is>
      </c>
      <c r="K59" s="20" t="inlineStr">
        <is>
          <t>Tracks speech almost perfectly; use as a speech proxy</t>
        </is>
      </c>
    </row>
    <row r="60">
      <c r="A60" s="15" t="inlineStr">
        <is>
          <t>face.AU26</t>
        </is>
      </c>
      <c r="B60" s="16" t="inlineStr">
        <is>
          <t>A Facial action units</t>
        </is>
      </c>
      <c r="C60" s="16" t="inlineStr">
        <is>
          <t>A3 Lower face</t>
        </is>
      </c>
      <c r="D60" s="16" t="inlineStr">
        <is>
          <t>Jaw drop</t>
        </is>
      </c>
      <c r="E60" s="16" t="inlineStr">
        <is>
          <t>Raw</t>
        </is>
      </c>
      <c r="F60" s="16" t="inlineStr">
        <is>
          <t>0.0-1.0 activation</t>
        </is>
      </c>
      <c r="G60" s="17" t="n">
        <v>30</v>
      </c>
      <c r="H60" s="18" t="inlineStr">
        <is>
          <t>Measured</t>
        </is>
      </c>
      <c r="I60" s="19" t="inlineStr">
        <is>
          <t>Implemented</t>
        </is>
      </c>
      <c r="J60" s="20" t="inlineStr">
        <is>
          <t>Jaw drop: speech volume, surprise, yawning</t>
        </is>
      </c>
      <c r="K60" s="20" t="inlineStr">
        <is>
          <t>Speech-driven</t>
        </is>
      </c>
    </row>
    <row r="61">
      <c r="A61" s="15" t="inlineStr">
        <is>
          <t>face.AU28</t>
        </is>
      </c>
      <c r="B61" s="16" t="inlineStr">
        <is>
          <t>A Facial action units</t>
        </is>
      </c>
      <c r="C61" s="16" t="inlineStr">
        <is>
          <t>A3 Lower face</t>
        </is>
      </c>
      <c r="D61" s="16" t="inlineStr">
        <is>
          <t>Lip suck</t>
        </is>
      </c>
      <c r="E61" s="16" t="inlineStr">
        <is>
          <t>Raw</t>
        </is>
      </c>
      <c r="F61" s="16" t="inlineStr">
        <is>
          <t>0.0-1.0 activation</t>
        </is>
      </c>
      <c r="G61" s="17" t="n">
        <v>30</v>
      </c>
      <c r="H61" s="18" t="inlineStr">
        <is>
          <t>Measured</t>
        </is>
      </c>
      <c r="I61" s="19" t="inlineStr">
        <is>
          <t>Implemented</t>
        </is>
      </c>
      <c r="J61" s="20" t="inlineStr">
        <is>
          <t>Lip suck: hesitation, self-editing, dry mouth</t>
        </is>
      </c>
      <c r="K61" s="20" t="inlineStr">
        <is>
          <t>Dry mouth is a common interview physiological effect</t>
        </is>
      </c>
    </row>
    <row r="62">
      <c r="A62" s="15" t="inlineStr">
        <is>
          <t>face.AU28_L</t>
        </is>
      </c>
      <c r="B62" s="16" t="inlineStr">
        <is>
          <t>A Facial action units</t>
        </is>
      </c>
      <c r="C62" s="16" t="inlineStr">
        <is>
          <t>A3 Lower face</t>
        </is>
      </c>
      <c r="D62" s="16" t="inlineStr">
        <is>
          <t>Lip suck — left side</t>
        </is>
      </c>
      <c r="E62" s="16" t="inlineStr">
        <is>
          <t>Raw</t>
        </is>
      </c>
      <c r="F62" s="16" t="inlineStr">
        <is>
          <t>0.0-1.0</t>
        </is>
      </c>
      <c r="G62" s="17" t="n">
        <v>30</v>
      </c>
      <c r="H62" s="18" t="inlineStr">
        <is>
          <t>Measured</t>
        </is>
      </c>
      <c r="I62" s="19" t="inlineStr">
        <is>
          <t>Implemented</t>
        </is>
      </c>
      <c r="J62" s="20" t="inlineStr">
        <is>
          <t>Left-hemiface activation, measured independently</t>
        </is>
      </c>
      <c r="K62" s="20" t="inlineStr">
        <is>
          <t>Dry mouth is a common interview physiological effect</t>
        </is>
      </c>
    </row>
    <row r="63">
      <c r="A63" s="15" t="inlineStr">
        <is>
          <t>face.AU28_R</t>
        </is>
      </c>
      <c r="B63" s="16" t="inlineStr">
        <is>
          <t>A Facial action units</t>
        </is>
      </c>
      <c r="C63" s="16" t="inlineStr">
        <is>
          <t>A3 Lower face</t>
        </is>
      </c>
      <c r="D63" s="16" t="inlineStr">
        <is>
          <t>Lip suck — right side</t>
        </is>
      </c>
      <c r="E63" s="16" t="inlineStr">
        <is>
          <t>Raw</t>
        </is>
      </c>
      <c r="F63" s="16" t="inlineStr">
        <is>
          <t>0.0-1.0</t>
        </is>
      </c>
      <c r="G63" s="17" t="n">
        <v>30</v>
      </c>
      <c r="H63" s="18" t="inlineStr">
        <is>
          <t>Measured</t>
        </is>
      </c>
      <c r="I63" s="19" t="inlineStr">
        <is>
          <t>Implemented</t>
        </is>
      </c>
      <c r="J63" s="20" t="inlineStr">
        <is>
          <t>Right-hemiface activation, measured independently</t>
        </is>
      </c>
      <c r="K63" s="20" t="inlineStr">
        <is>
          <t>Dry mouth is a common interview physiological effect</t>
        </is>
      </c>
    </row>
    <row r="64">
      <c r="A64" s="15" t="inlineStr">
        <is>
          <t>face.AU28_asym</t>
        </is>
      </c>
      <c r="B64" s="16" t="inlineStr">
        <is>
          <t>A Facial action units</t>
        </is>
      </c>
      <c r="C64" s="16" t="inlineStr">
        <is>
          <t>A4 Asymmetry</t>
        </is>
      </c>
      <c r="D64" s="16" t="inlineStr">
        <is>
          <t>Lip suck — asymmetry</t>
        </is>
      </c>
      <c r="E64" s="16" t="inlineStr">
        <is>
          <t>Derived</t>
        </is>
      </c>
      <c r="F64" s="16" t="inlineStr">
        <is>
          <t>0.0-1.0 (|L-R|)</t>
        </is>
      </c>
      <c r="G64" s="17" t="n">
        <v>30</v>
      </c>
      <c r="H64" s="21" t="inlineStr">
        <is>
          <t>Weak inference</t>
        </is>
      </c>
      <c r="I64" s="19" t="inlineStr">
        <is>
          <t>Implemented</t>
        </is>
      </c>
      <c r="J64" s="20" t="inlineStr">
        <is>
          <t>Left-right imbalance. Spontaneous expressions are more symmetric than posed ones as a population tendency</t>
        </is>
      </c>
      <c r="K64" s="20" t="inlineStr">
        <is>
          <t>Facial nerve variation, unilateral habit, camera angle. Never a per-person verdict</t>
        </is>
      </c>
    </row>
    <row r="65">
      <c r="A65" s="15" t="inlineStr">
        <is>
          <t>face.AU29</t>
        </is>
      </c>
      <c r="B65" s="16" t="inlineStr">
        <is>
          <t>A Facial action units</t>
        </is>
      </c>
      <c r="C65" s="16" t="inlineStr">
        <is>
          <t>A3 Lower face</t>
        </is>
      </c>
      <c r="D65" s="16" t="inlineStr">
        <is>
          <t>Jaw thrust</t>
        </is>
      </c>
      <c r="E65" s="16" t="inlineStr">
        <is>
          <t>Raw</t>
        </is>
      </c>
      <c r="F65" s="16" t="inlineStr">
        <is>
          <t>0.0-1.0 activation</t>
        </is>
      </c>
      <c r="G65" s="17" t="n">
        <v>30</v>
      </c>
      <c r="H65" s="18" t="inlineStr">
        <is>
          <t>Measured</t>
        </is>
      </c>
      <c r="I65" s="19" t="inlineStr">
        <is>
          <t>Implemented</t>
        </is>
      </c>
      <c r="J65" s="20" t="inlineStr">
        <is>
          <t>Jaw thrust; rare</t>
        </is>
      </c>
      <c r="K65" s="20" t="inlineStr">
        <is>
          <t>Very low base rate</t>
        </is>
      </c>
    </row>
    <row r="66">
      <c r="A66" s="15" t="inlineStr">
        <is>
          <t>face.AU30</t>
        </is>
      </c>
      <c r="B66" s="16" t="inlineStr">
        <is>
          <t>A Facial action units</t>
        </is>
      </c>
      <c r="C66" s="16" t="inlineStr">
        <is>
          <t>A3 Lower face</t>
        </is>
      </c>
      <c r="D66" s="16" t="inlineStr">
        <is>
          <t>Jaw sideways</t>
        </is>
      </c>
      <c r="E66" s="16" t="inlineStr">
        <is>
          <t>Raw</t>
        </is>
      </c>
      <c r="F66" s="16" t="inlineStr">
        <is>
          <t>0.0-1.0 activation</t>
        </is>
      </c>
      <c r="G66" s="17" t="n">
        <v>30</v>
      </c>
      <c r="H66" s="18" t="inlineStr">
        <is>
          <t>Measured</t>
        </is>
      </c>
      <c r="I66" s="19" t="inlineStr">
        <is>
          <t>Implemented</t>
        </is>
      </c>
      <c r="J66" s="20" t="inlineStr">
        <is>
          <t>Jaw sideways; rare</t>
        </is>
      </c>
      <c r="K66" s="20" t="inlineStr">
        <is>
          <t>Very low base rate</t>
        </is>
      </c>
    </row>
    <row r="67">
      <c r="A67" s="15" t="inlineStr">
        <is>
          <t>face.AU30_L</t>
        </is>
      </c>
      <c r="B67" s="16" t="inlineStr">
        <is>
          <t>A Facial action units</t>
        </is>
      </c>
      <c r="C67" s="16" t="inlineStr">
        <is>
          <t>A3 Lower face</t>
        </is>
      </c>
      <c r="D67" s="16" t="inlineStr">
        <is>
          <t>Jaw sideways — left side</t>
        </is>
      </c>
      <c r="E67" s="16" t="inlineStr">
        <is>
          <t>Raw</t>
        </is>
      </c>
      <c r="F67" s="16" t="inlineStr">
        <is>
          <t>0.0-1.0</t>
        </is>
      </c>
      <c r="G67" s="17" t="n">
        <v>30</v>
      </c>
      <c r="H67" s="18" t="inlineStr">
        <is>
          <t>Measured</t>
        </is>
      </c>
      <c r="I67" s="19" t="inlineStr">
        <is>
          <t>Implemented</t>
        </is>
      </c>
      <c r="J67" s="20" t="inlineStr">
        <is>
          <t>Left-hemiface activation, measured independently</t>
        </is>
      </c>
      <c r="K67" s="20" t="inlineStr">
        <is>
          <t>Very low base rate</t>
        </is>
      </c>
    </row>
    <row r="68">
      <c r="A68" s="15" t="inlineStr">
        <is>
          <t>face.AU30_R</t>
        </is>
      </c>
      <c r="B68" s="16" t="inlineStr">
        <is>
          <t>A Facial action units</t>
        </is>
      </c>
      <c r="C68" s="16" t="inlineStr">
        <is>
          <t>A3 Lower face</t>
        </is>
      </c>
      <c r="D68" s="16" t="inlineStr">
        <is>
          <t>Jaw sideways — right side</t>
        </is>
      </c>
      <c r="E68" s="16" t="inlineStr">
        <is>
          <t>Raw</t>
        </is>
      </c>
      <c r="F68" s="16" t="inlineStr">
        <is>
          <t>0.0-1.0</t>
        </is>
      </c>
      <c r="G68" s="17" t="n">
        <v>30</v>
      </c>
      <c r="H68" s="18" t="inlineStr">
        <is>
          <t>Measured</t>
        </is>
      </c>
      <c r="I68" s="19" t="inlineStr">
        <is>
          <t>Implemented</t>
        </is>
      </c>
      <c r="J68" s="20" t="inlineStr">
        <is>
          <t>Right-hemiface activation, measured independently</t>
        </is>
      </c>
      <c r="K68" s="20" t="inlineStr">
        <is>
          <t>Very low base rate</t>
        </is>
      </c>
    </row>
    <row r="69">
      <c r="A69" s="15" t="inlineStr">
        <is>
          <t>face.AU30_asym</t>
        </is>
      </c>
      <c r="B69" s="16" t="inlineStr">
        <is>
          <t>A Facial action units</t>
        </is>
      </c>
      <c r="C69" s="16" t="inlineStr">
        <is>
          <t>A4 Asymmetry</t>
        </is>
      </c>
      <c r="D69" s="16" t="inlineStr">
        <is>
          <t>Jaw sideways — asymmetry</t>
        </is>
      </c>
      <c r="E69" s="16" t="inlineStr">
        <is>
          <t>Derived</t>
        </is>
      </c>
      <c r="F69" s="16" t="inlineStr">
        <is>
          <t>0.0-1.0 (|L-R|)</t>
        </is>
      </c>
      <c r="G69" s="17" t="n">
        <v>30</v>
      </c>
      <c r="H69" s="21" t="inlineStr">
        <is>
          <t>Weak inference</t>
        </is>
      </c>
      <c r="I69" s="19" t="inlineStr">
        <is>
          <t>Implemented</t>
        </is>
      </c>
      <c r="J69" s="20" t="inlineStr">
        <is>
          <t>Left-right imbalance. Spontaneous expressions are more symmetric than posed ones as a population tendency</t>
        </is>
      </c>
      <c r="K69" s="20" t="inlineStr">
        <is>
          <t>Facial nerve variation, unilateral habit, camera angle. Never a per-person verdict</t>
        </is>
      </c>
    </row>
    <row r="70">
      <c r="A70" s="15" t="inlineStr">
        <is>
          <t>face.AU33</t>
        </is>
      </c>
      <c r="B70" s="16" t="inlineStr">
        <is>
          <t>A Facial action units</t>
        </is>
      </c>
      <c r="C70" s="16" t="inlineStr">
        <is>
          <t>A3 Lower face</t>
        </is>
      </c>
      <c r="D70" s="16" t="inlineStr">
        <is>
          <t>Cheek puff</t>
        </is>
      </c>
      <c r="E70" s="16" t="inlineStr">
        <is>
          <t>Raw</t>
        </is>
      </c>
      <c r="F70" s="16" t="inlineStr">
        <is>
          <t>0.0-1.0 activation</t>
        </is>
      </c>
      <c r="G70" s="17" t="n">
        <v>30</v>
      </c>
      <c r="H70" s="18" t="inlineStr">
        <is>
          <t>Measured</t>
        </is>
      </c>
      <c r="I70" s="19" t="inlineStr">
        <is>
          <t>Implemented</t>
        </is>
      </c>
      <c r="J70" s="20" t="inlineStr">
        <is>
          <t>Cheek puff: exhalation, exasperation, thinking</t>
        </is>
      </c>
      <c r="K70" s="20" t="inlineStr">
        <is>
          <t>Also just breathing out</t>
        </is>
      </c>
    </row>
    <row r="71">
      <c r="A71" s="15" t="inlineStr">
        <is>
          <t>face.AU36</t>
        </is>
      </c>
      <c r="B71" s="16" t="inlineStr">
        <is>
          <t>A Facial action units</t>
        </is>
      </c>
      <c r="C71" s="16" t="inlineStr">
        <is>
          <t>A3 Lower face</t>
        </is>
      </c>
      <c r="D71" s="16" t="inlineStr">
        <is>
          <t>Tongue show</t>
        </is>
      </c>
      <c r="E71" s="16" t="inlineStr">
        <is>
          <t>Raw</t>
        </is>
      </c>
      <c r="F71" s="16" t="inlineStr">
        <is>
          <t>0.0-1.0 activation</t>
        </is>
      </c>
      <c r="G71" s="17" t="n">
        <v>30</v>
      </c>
      <c r="H71" s="18" t="inlineStr">
        <is>
          <t>Measured</t>
        </is>
      </c>
      <c r="I71" s="19" t="inlineStr">
        <is>
          <t>Implemented</t>
        </is>
      </c>
      <c r="J71" s="20" t="inlineStr">
        <is>
          <t>Tongue show</t>
        </is>
      </c>
      <c r="K71" s="20" t="inlineStr">
        <is>
          <t>Near-zero base rate in a professional interview</t>
        </is>
      </c>
    </row>
    <row r="72">
      <c r="A72" s="15" t="inlineStr">
        <is>
          <t>face.AU38</t>
        </is>
      </c>
      <c r="B72" s="16" t="inlineStr">
        <is>
          <t>A Facial action units</t>
        </is>
      </c>
      <c r="C72" s="16" t="inlineStr">
        <is>
          <t>A3 Lower face</t>
        </is>
      </c>
      <c r="D72" s="16" t="inlineStr">
        <is>
          <t>Mouth sideways</t>
        </is>
      </c>
      <c r="E72" s="16" t="inlineStr">
        <is>
          <t>Raw</t>
        </is>
      </c>
      <c r="F72" s="16" t="inlineStr">
        <is>
          <t>0.0-1.0 activation</t>
        </is>
      </c>
      <c r="G72" s="17" t="n">
        <v>30</v>
      </c>
      <c r="H72" s="18" t="inlineStr">
        <is>
          <t>Measured</t>
        </is>
      </c>
      <c r="I72" s="19" t="inlineStr">
        <is>
          <t>Implemented</t>
        </is>
      </c>
      <c r="J72" s="20" t="inlineStr">
        <is>
          <t>Mouth pulled sideways: scepticism, wry reaction</t>
        </is>
      </c>
      <c r="K72" s="20" t="inlineStr">
        <is>
          <t>Speech articulation</t>
        </is>
      </c>
    </row>
    <row r="73">
      <c r="A73" s="15" t="inlineStr">
        <is>
          <t>face.AU38_L</t>
        </is>
      </c>
      <c r="B73" s="16" t="inlineStr">
        <is>
          <t>A Facial action units</t>
        </is>
      </c>
      <c r="C73" s="16" t="inlineStr">
        <is>
          <t>A3 Lower face</t>
        </is>
      </c>
      <c r="D73" s="16" t="inlineStr">
        <is>
          <t>Mouth sideways — left side</t>
        </is>
      </c>
      <c r="E73" s="16" t="inlineStr">
        <is>
          <t>Raw</t>
        </is>
      </c>
      <c r="F73" s="16" t="inlineStr">
        <is>
          <t>0.0-1.0</t>
        </is>
      </c>
      <c r="G73" s="17" t="n">
        <v>30</v>
      </c>
      <c r="H73" s="18" t="inlineStr">
        <is>
          <t>Measured</t>
        </is>
      </c>
      <c r="I73" s="19" t="inlineStr">
        <is>
          <t>Implemented</t>
        </is>
      </c>
      <c r="J73" s="20" t="inlineStr">
        <is>
          <t>Left-hemiface activation, measured independently</t>
        </is>
      </c>
      <c r="K73" s="20" t="inlineStr">
        <is>
          <t>Speech articulation</t>
        </is>
      </c>
    </row>
    <row r="74">
      <c r="A74" s="15" t="inlineStr">
        <is>
          <t>face.AU38_R</t>
        </is>
      </c>
      <c r="B74" s="16" t="inlineStr">
        <is>
          <t>A Facial action units</t>
        </is>
      </c>
      <c r="C74" s="16" t="inlineStr">
        <is>
          <t>A3 Lower face</t>
        </is>
      </c>
      <c r="D74" s="16" t="inlineStr">
        <is>
          <t>Mouth sideways — right side</t>
        </is>
      </c>
      <c r="E74" s="16" t="inlineStr">
        <is>
          <t>Raw</t>
        </is>
      </c>
      <c r="F74" s="16" t="inlineStr">
        <is>
          <t>0.0-1.0</t>
        </is>
      </c>
      <c r="G74" s="17" t="n">
        <v>30</v>
      </c>
      <c r="H74" s="18" t="inlineStr">
        <is>
          <t>Measured</t>
        </is>
      </c>
      <c r="I74" s="19" t="inlineStr">
        <is>
          <t>Implemented</t>
        </is>
      </c>
      <c r="J74" s="20" t="inlineStr">
        <is>
          <t>Right-hemiface activation, measured independently</t>
        </is>
      </c>
      <c r="K74" s="20" t="inlineStr">
        <is>
          <t>Speech articulation</t>
        </is>
      </c>
    </row>
    <row r="75">
      <c r="A75" s="15" t="inlineStr">
        <is>
          <t>face.AU38_asym</t>
        </is>
      </c>
      <c r="B75" s="16" t="inlineStr">
        <is>
          <t>A Facial action units</t>
        </is>
      </c>
      <c r="C75" s="16" t="inlineStr">
        <is>
          <t>A4 Asymmetry</t>
        </is>
      </c>
      <c r="D75" s="16" t="inlineStr">
        <is>
          <t>Mouth sideways — asymmetry</t>
        </is>
      </c>
      <c r="E75" s="16" t="inlineStr">
        <is>
          <t>Derived</t>
        </is>
      </c>
      <c r="F75" s="16" t="inlineStr">
        <is>
          <t>0.0-1.0 (|L-R|)</t>
        </is>
      </c>
      <c r="G75" s="17" t="n">
        <v>30</v>
      </c>
      <c r="H75" s="21" t="inlineStr">
        <is>
          <t>Weak inference</t>
        </is>
      </c>
      <c r="I75" s="19" t="inlineStr">
        <is>
          <t>Implemented</t>
        </is>
      </c>
      <c r="J75" s="20" t="inlineStr">
        <is>
          <t>Left-right imbalance. Spontaneous expressions are more symmetric than posed ones as a population tendency</t>
        </is>
      </c>
      <c r="K75" s="20" t="inlineStr">
        <is>
          <t>Facial nerve variation, unilateral habit, camera angle. Never a per-person verdict</t>
        </is>
      </c>
    </row>
    <row r="76">
      <c r="A76" s="15" t="inlineStr">
        <is>
          <t>face.AU51</t>
        </is>
      </c>
      <c r="B76" s="16" t="inlineStr">
        <is>
          <t>A Facial action units</t>
        </is>
      </c>
      <c r="C76" s="16" t="inlineStr">
        <is>
          <t>A5 Rigid head (FACS 51-58)</t>
        </is>
      </c>
      <c r="D76" s="16" t="inlineStr">
        <is>
          <t>Head turn left</t>
        </is>
      </c>
      <c r="E76" s="16" t="inlineStr">
        <is>
          <t>Derived</t>
        </is>
      </c>
      <c r="F76" s="16" t="inlineStr">
        <is>
          <t>0.0-1.0 normalised angle</t>
        </is>
      </c>
      <c r="G76" s="17" t="n">
        <v>30</v>
      </c>
      <c r="H76" s="18" t="inlineStr">
        <is>
          <t>Measured</t>
        </is>
      </c>
      <c r="I76" s="19" t="inlineStr">
        <is>
          <t>Implemented</t>
        </is>
      </c>
      <c r="J76" s="20" t="inlineStr">
        <is>
          <t>Head turned to subject's left</t>
        </is>
      </c>
      <c r="K76" s="20" t="inlineStr">
        <is>
          <t>Second monitor or notes placed to one side</t>
        </is>
      </c>
    </row>
    <row r="77">
      <c r="A77" s="15" t="inlineStr">
        <is>
          <t>face.AU52</t>
        </is>
      </c>
      <c r="B77" s="16" t="inlineStr">
        <is>
          <t>A Facial action units</t>
        </is>
      </c>
      <c r="C77" s="16" t="inlineStr">
        <is>
          <t>A5 Rigid head (FACS 51-58)</t>
        </is>
      </c>
      <c r="D77" s="16" t="inlineStr">
        <is>
          <t>Head turn right</t>
        </is>
      </c>
      <c r="E77" s="16" t="inlineStr">
        <is>
          <t>Derived</t>
        </is>
      </c>
      <c r="F77" s="16" t="inlineStr">
        <is>
          <t>0.0-1.0 normalised angle</t>
        </is>
      </c>
      <c r="G77" s="17" t="n">
        <v>30</v>
      </c>
      <c r="H77" s="18" t="inlineStr">
        <is>
          <t>Measured</t>
        </is>
      </c>
      <c r="I77" s="19" t="inlineStr">
        <is>
          <t>Implemented</t>
        </is>
      </c>
      <c r="J77" s="20" t="inlineStr">
        <is>
          <t>Head turned to subject's right</t>
        </is>
      </c>
      <c r="K77" s="20" t="inlineStr">
        <is>
          <t>Second monitor or notes placed to one side</t>
        </is>
      </c>
    </row>
    <row r="78">
      <c r="A78" s="15" t="inlineStr">
        <is>
          <t>face.AU53</t>
        </is>
      </c>
      <c r="B78" s="16" t="inlineStr">
        <is>
          <t>A Facial action units</t>
        </is>
      </c>
      <c r="C78" s="16" t="inlineStr">
        <is>
          <t>A5 Rigid head (FACS 51-58)</t>
        </is>
      </c>
      <c r="D78" s="16" t="inlineStr">
        <is>
          <t>Head up</t>
        </is>
      </c>
      <c r="E78" s="16" t="inlineStr">
        <is>
          <t>Derived</t>
        </is>
      </c>
      <c r="F78" s="16" t="inlineStr">
        <is>
          <t>0.0-1.0 normalised angle</t>
        </is>
      </c>
      <c r="G78" s="17" t="n">
        <v>30</v>
      </c>
      <c r="H78" s="18" t="inlineStr">
        <is>
          <t>Measured</t>
        </is>
      </c>
      <c r="I78" s="19" t="inlineStr">
        <is>
          <t>Implemented</t>
        </is>
      </c>
      <c r="J78" s="20" t="inlineStr">
        <is>
          <t>Head raised</t>
        </is>
      </c>
      <c r="K78" s="20" t="inlineStr">
        <is>
          <t>Camera mounted below eye line, common on laptops</t>
        </is>
      </c>
    </row>
    <row r="79">
      <c r="A79" s="15" t="inlineStr">
        <is>
          <t>face.AU54</t>
        </is>
      </c>
      <c r="B79" s="16" t="inlineStr">
        <is>
          <t>A Facial action units</t>
        </is>
      </c>
      <c r="C79" s="16" t="inlineStr">
        <is>
          <t>A5 Rigid head (FACS 51-58)</t>
        </is>
      </c>
      <c r="D79" s="16" t="inlineStr">
        <is>
          <t>Head down</t>
        </is>
      </c>
      <c r="E79" s="16" t="inlineStr">
        <is>
          <t>Derived</t>
        </is>
      </c>
      <c r="F79" s="16" t="inlineStr">
        <is>
          <t>0.0-1.0 normalised angle</t>
        </is>
      </c>
      <c r="G79" s="17" t="n">
        <v>30</v>
      </c>
      <c r="H79" s="18" t="inlineStr">
        <is>
          <t>Measured</t>
        </is>
      </c>
      <c r="I79" s="19" t="inlineStr">
        <is>
          <t>Implemented</t>
        </is>
      </c>
      <c r="J79" s="20" t="inlineStr">
        <is>
          <t>Head lowered; nodding, or reading from notes</t>
        </is>
      </c>
      <c r="K79" s="20" t="inlineStr">
        <is>
          <t>Laptop camera angle; reading the question on screen</t>
        </is>
      </c>
    </row>
    <row r="80">
      <c r="A80" s="15" t="inlineStr">
        <is>
          <t>face.AU55</t>
        </is>
      </c>
      <c r="B80" s="16" t="inlineStr">
        <is>
          <t>A Facial action units</t>
        </is>
      </c>
      <c r="C80" s="16" t="inlineStr">
        <is>
          <t>A5 Rigid head (FACS 51-58)</t>
        </is>
      </c>
      <c r="D80" s="16" t="inlineStr">
        <is>
          <t>Head tilt left</t>
        </is>
      </c>
      <c r="E80" s="16" t="inlineStr">
        <is>
          <t>Derived</t>
        </is>
      </c>
      <c r="F80" s="16" t="inlineStr">
        <is>
          <t>0.0-1.0 normalised angle</t>
        </is>
      </c>
      <c r="G80" s="17" t="n">
        <v>30</v>
      </c>
      <c r="H80" s="18" t="inlineStr">
        <is>
          <t>Measured</t>
        </is>
      </c>
      <c r="I80" s="19" t="inlineStr">
        <is>
          <t>Implemented</t>
        </is>
      </c>
      <c r="J80" s="20" t="inlineStr">
        <is>
          <t>Head tilted left; often a listening posture</t>
        </is>
      </c>
      <c r="K80" s="20" t="inlineStr">
        <is>
          <t>Leaning on a hand, chair back angle</t>
        </is>
      </c>
    </row>
    <row r="81">
      <c r="A81" s="15" t="inlineStr">
        <is>
          <t>face.AU56</t>
        </is>
      </c>
      <c r="B81" s="16" t="inlineStr">
        <is>
          <t>A Facial action units</t>
        </is>
      </c>
      <c r="C81" s="16" t="inlineStr">
        <is>
          <t>A5 Rigid head (FACS 51-58)</t>
        </is>
      </c>
      <c r="D81" s="16" t="inlineStr">
        <is>
          <t>Head tilt right</t>
        </is>
      </c>
      <c r="E81" s="16" t="inlineStr">
        <is>
          <t>Derived</t>
        </is>
      </c>
      <c r="F81" s="16" t="inlineStr">
        <is>
          <t>0.0-1.0 normalised angle</t>
        </is>
      </c>
      <c r="G81" s="17" t="n">
        <v>30</v>
      </c>
      <c r="H81" s="18" t="inlineStr">
        <is>
          <t>Measured</t>
        </is>
      </c>
      <c r="I81" s="19" t="inlineStr">
        <is>
          <t>Implemented</t>
        </is>
      </c>
      <c r="J81" s="20" t="inlineStr">
        <is>
          <t>Head tilted right; often a listening posture</t>
        </is>
      </c>
      <c r="K81" s="20" t="inlineStr">
        <is>
          <t>Leaning on a hand, chair back angle</t>
        </is>
      </c>
    </row>
    <row r="82">
      <c r="A82" s="15" t="inlineStr">
        <is>
          <t>face.AU57</t>
        </is>
      </c>
      <c r="B82" s="16" t="inlineStr">
        <is>
          <t>A Facial action units</t>
        </is>
      </c>
      <c r="C82" s="16" t="inlineStr">
        <is>
          <t>A5 Rigid head (FACS 51-58)</t>
        </is>
      </c>
      <c r="D82" s="16" t="inlineStr">
        <is>
          <t>Head forward</t>
        </is>
      </c>
      <c r="E82" s="16" t="inlineStr">
        <is>
          <t>Derived</t>
        </is>
      </c>
      <c r="F82" s="16" t="inlineStr">
        <is>
          <t>0.0-1.0 normalised angle</t>
        </is>
      </c>
      <c r="G82" s="17" t="n">
        <v>30</v>
      </c>
      <c r="H82" s="18" t="inlineStr">
        <is>
          <t>Measured</t>
        </is>
      </c>
      <c r="I82" s="22" t="inlineStr">
        <is>
          <t>Phase 1</t>
        </is>
      </c>
      <c r="J82" s="20" t="inlineStr">
        <is>
          <t>Head/torso forward: engagement or hearing difficulty</t>
        </is>
      </c>
      <c r="K82" s="20" t="inlineStr">
        <is>
          <t>Small laptop screen invites leaning in</t>
        </is>
      </c>
    </row>
    <row r="83">
      <c r="A83" s="15" t="inlineStr">
        <is>
          <t>face.AU58</t>
        </is>
      </c>
      <c r="B83" s="16" t="inlineStr">
        <is>
          <t>A Facial action units</t>
        </is>
      </c>
      <c r="C83" s="16" t="inlineStr">
        <is>
          <t>A5 Rigid head (FACS 51-58)</t>
        </is>
      </c>
      <c r="D83" s="16" t="inlineStr">
        <is>
          <t>Head back</t>
        </is>
      </c>
      <c r="E83" s="16" t="inlineStr">
        <is>
          <t>Derived</t>
        </is>
      </c>
      <c r="F83" s="16" t="inlineStr">
        <is>
          <t>0.0-1.0 normalised angle</t>
        </is>
      </c>
      <c r="G83" s="17" t="n">
        <v>30</v>
      </c>
      <c r="H83" s="18" t="inlineStr">
        <is>
          <t>Measured</t>
        </is>
      </c>
      <c r="I83" s="22" t="inlineStr">
        <is>
          <t>Phase 1</t>
        </is>
      </c>
      <c r="J83" s="20" t="inlineStr">
        <is>
          <t>Head/torso back: distance or relaxation</t>
        </is>
      </c>
      <c r="K83" s="20" t="inlineStr">
        <is>
          <t>Chair recline</t>
        </is>
      </c>
    </row>
    <row r="84">
      <c r="A84" s="15" t="inlineStr">
        <is>
          <t>face.AU61</t>
        </is>
      </c>
      <c r="B84" s="16" t="inlineStr">
        <is>
          <t>A Facial action units</t>
        </is>
      </c>
      <c r="C84" s="16" t="inlineStr">
        <is>
          <t>A6 Gaze (FACS 61-64)</t>
        </is>
      </c>
      <c r="D84" s="16" t="inlineStr">
        <is>
          <t>Eyes turn left</t>
        </is>
      </c>
      <c r="E84" s="16" t="inlineStr">
        <is>
          <t>Raw</t>
        </is>
      </c>
      <c r="F84" s="16" t="inlineStr">
        <is>
          <t>0.0-1.0</t>
        </is>
      </c>
      <c r="G84" s="17" t="n">
        <v>30</v>
      </c>
      <c r="H84" s="18" t="inlineStr">
        <is>
          <t>Measured</t>
        </is>
      </c>
      <c r="I84" s="19" t="inlineStr">
        <is>
          <t>Implemented</t>
        </is>
      </c>
      <c r="J84" s="20" t="inlineStr">
        <is>
          <t>Eyes left, independent of head pose</t>
        </is>
      </c>
      <c r="K84" s="20" t="inlineStr">
        <is>
          <t>Interviewer video tile position on screen</t>
        </is>
      </c>
    </row>
    <row r="85">
      <c r="A85" s="15" t="inlineStr">
        <is>
          <t>face.AU62</t>
        </is>
      </c>
      <c r="B85" s="16" t="inlineStr">
        <is>
          <t>A Facial action units</t>
        </is>
      </c>
      <c r="C85" s="16" t="inlineStr">
        <is>
          <t>A6 Gaze (FACS 61-64)</t>
        </is>
      </c>
      <c r="D85" s="16" t="inlineStr">
        <is>
          <t>Eyes turn right</t>
        </is>
      </c>
      <c r="E85" s="16" t="inlineStr">
        <is>
          <t>Raw</t>
        </is>
      </c>
      <c r="F85" s="16" t="inlineStr">
        <is>
          <t>0.0-1.0</t>
        </is>
      </c>
      <c r="G85" s="17" t="n">
        <v>30</v>
      </c>
      <c r="H85" s="18" t="inlineStr">
        <is>
          <t>Measured</t>
        </is>
      </c>
      <c r="I85" s="19" t="inlineStr">
        <is>
          <t>Implemented</t>
        </is>
      </c>
      <c r="J85" s="20" t="inlineStr">
        <is>
          <t>Eyes right, independent of head pose</t>
        </is>
      </c>
      <c r="K85" s="20" t="inlineStr">
        <is>
          <t>Interviewer video tile position on screen</t>
        </is>
      </c>
    </row>
    <row r="86">
      <c r="A86" s="15" t="inlineStr">
        <is>
          <t>face.AU63</t>
        </is>
      </c>
      <c r="B86" s="16" t="inlineStr">
        <is>
          <t>A Facial action units</t>
        </is>
      </c>
      <c r="C86" s="16" t="inlineStr">
        <is>
          <t>A6 Gaze (FACS 61-64)</t>
        </is>
      </c>
      <c r="D86" s="16" t="inlineStr">
        <is>
          <t>Eyes up</t>
        </is>
      </c>
      <c r="E86" s="16" t="inlineStr">
        <is>
          <t>Raw</t>
        </is>
      </c>
      <c r="F86" s="16" t="inlineStr">
        <is>
          <t>0.0-1.0</t>
        </is>
      </c>
      <c r="G86" s="17" t="n">
        <v>30</v>
      </c>
      <c r="H86" s="18" t="inlineStr">
        <is>
          <t>Measured</t>
        </is>
      </c>
      <c r="I86" s="19" t="inlineStr">
        <is>
          <t>Implemented</t>
        </is>
      </c>
      <c r="J86" s="20" t="inlineStr">
        <is>
          <t>Eyes up: recall or thinking</t>
        </is>
      </c>
      <c r="K86" s="20" t="inlineStr">
        <is>
          <t>Notes or a second screen placed above</t>
        </is>
      </c>
    </row>
    <row r="87">
      <c r="A87" s="15" t="inlineStr">
        <is>
          <t>face.AU64</t>
        </is>
      </c>
      <c r="B87" s="16" t="inlineStr">
        <is>
          <t>A Facial action units</t>
        </is>
      </c>
      <c r="C87" s="16" t="inlineStr">
        <is>
          <t>A6 Gaze (FACS 61-64)</t>
        </is>
      </c>
      <c r="D87" s="16" t="inlineStr">
        <is>
          <t>Eyes down</t>
        </is>
      </c>
      <c r="E87" s="16" t="inlineStr">
        <is>
          <t>Raw</t>
        </is>
      </c>
      <c r="F87" s="16" t="inlineStr">
        <is>
          <t>0.0-1.0</t>
        </is>
      </c>
      <c r="G87" s="17" t="n">
        <v>30</v>
      </c>
      <c r="H87" s="18" t="inlineStr">
        <is>
          <t>Measured</t>
        </is>
      </c>
      <c r="I87" s="19" t="inlineStr">
        <is>
          <t>Implemented</t>
        </is>
      </c>
      <c r="J87" s="20" t="inlineStr">
        <is>
          <t>Eyes down: notes, keyboard, or reflection</t>
        </is>
      </c>
      <c r="K87" s="20" t="inlineStr">
        <is>
          <t>Reading from a document is indistinguishable from avoidance</t>
        </is>
      </c>
    </row>
    <row r="88">
      <c r="A88" s="15" t="inlineStr">
        <is>
          <t>face.head_yaw</t>
        </is>
      </c>
      <c r="B88" s="16" t="inlineStr">
        <is>
          <t>A Facial action units</t>
        </is>
      </c>
      <c r="C88" s="16" t="inlineStr">
        <is>
          <t>A7 Head pose</t>
        </is>
      </c>
      <c r="D88" s="16" t="inlineStr">
        <is>
          <t>Head yaw</t>
        </is>
      </c>
      <c r="E88" s="16" t="inlineStr">
        <is>
          <t>Derived</t>
        </is>
      </c>
      <c r="F88" s="16" t="inlineStr">
        <is>
          <t>degrees, -90 to +90</t>
        </is>
      </c>
      <c r="G88" s="17" t="n">
        <v>30</v>
      </c>
      <c r="H88" s="18" t="inlineStr">
        <is>
          <t>Measured</t>
        </is>
      </c>
      <c r="I88" s="19" t="inlineStr">
        <is>
          <t>Implemented</t>
        </is>
      </c>
      <c r="J88" s="20" t="inlineStr">
        <is>
          <t>Horizontal head rotation from the 4x4 face transform matrix</t>
        </is>
      </c>
      <c r="K88" s="20" t="inlineStr">
        <is>
          <t>Camera not centred on the subject</t>
        </is>
      </c>
    </row>
    <row r="89">
      <c r="A89" s="15" t="inlineStr">
        <is>
          <t>face.head_pitch</t>
        </is>
      </c>
      <c r="B89" s="16" t="inlineStr">
        <is>
          <t>A Facial action units</t>
        </is>
      </c>
      <c r="C89" s="16" t="inlineStr">
        <is>
          <t>A7 Head pose</t>
        </is>
      </c>
      <c r="D89" s="16" t="inlineStr">
        <is>
          <t>Head pitch</t>
        </is>
      </c>
      <c r="E89" s="16" t="inlineStr">
        <is>
          <t>Derived</t>
        </is>
      </c>
      <c r="F89" s="16" t="inlineStr">
        <is>
          <t>degrees, -90 to +90</t>
        </is>
      </c>
      <c r="G89" s="17" t="n">
        <v>30</v>
      </c>
      <c r="H89" s="18" t="inlineStr">
        <is>
          <t>Measured</t>
        </is>
      </c>
      <c r="I89" s="19" t="inlineStr">
        <is>
          <t>Implemented</t>
        </is>
      </c>
      <c r="J89" s="20" t="inlineStr">
        <is>
          <t>Vertical head rotation</t>
        </is>
      </c>
      <c r="K89" s="20" t="inlineStr">
        <is>
          <t>Laptop cameras sit below the eye line</t>
        </is>
      </c>
    </row>
    <row r="90">
      <c r="A90" s="15" t="inlineStr">
        <is>
          <t>face.head_roll</t>
        </is>
      </c>
      <c r="B90" s="16" t="inlineStr">
        <is>
          <t>A Facial action units</t>
        </is>
      </c>
      <c r="C90" s="16" t="inlineStr">
        <is>
          <t>A7 Head pose</t>
        </is>
      </c>
      <c r="D90" s="16" t="inlineStr">
        <is>
          <t>Head roll</t>
        </is>
      </c>
      <c r="E90" s="16" t="inlineStr">
        <is>
          <t>Derived</t>
        </is>
      </c>
      <c r="F90" s="16" t="inlineStr">
        <is>
          <t>degrees, -90 to +90</t>
        </is>
      </c>
      <c r="G90" s="17" t="n">
        <v>30</v>
      </c>
      <c r="H90" s="18" t="inlineStr">
        <is>
          <t>Measured</t>
        </is>
      </c>
      <c r="I90" s="19" t="inlineStr">
        <is>
          <t>Implemented</t>
        </is>
      </c>
      <c r="J90" s="20" t="inlineStr">
        <is>
          <t>Head tilt around the viewing axis</t>
        </is>
      </c>
      <c r="K90" s="20" t="inlineStr">
        <is>
          <t>Chair and desk geometry</t>
        </is>
      </c>
    </row>
    <row r="91">
      <c r="A91" s="15" t="inlineStr">
        <is>
          <t>face.head_motion_energy</t>
        </is>
      </c>
      <c r="B91" s="16" t="inlineStr">
        <is>
          <t>A Facial action units</t>
        </is>
      </c>
      <c r="C91" s="16" t="inlineStr">
        <is>
          <t>A7 Head pose</t>
        </is>
      </c>
      <c r="D91" s="16" t="inlineStr">
        <is>
          <t>Head motion energy</t>
        </is>
      </c>
      <c r="E91" s="16" t="inlineStr">
        <is>
          <t>Derived</t>
        </is>
      </c>
      <c r="F91" s="16" t="inlineStr">
        <is>
          <t>deg/frame, 5 s mean</t>
        </is>
      </c>
      <c r="G91" s="17" t="n">
        <v>30</v>
      </c>
      <c r="H91" s="18" t="inlineStr">
        <is>
          <t>Measured</t>
        </is>
      </c>
      <c r="I91" s="19" t="inlineStr">
        <is>
          <t>Implemented</t>
        </is>
      </c>
      <c r="J91" s="20" t="inlineStr">
        <is>
          <t>How much the head moves regardless of direction. High sustained values read as restlessness, near-zero as rigidity</t>
        </is>
      </c>
      <c r="K91" s="20" t="inlineStr">
        <is>
          <t>Video stutter on a poor connection inflates this</t>
        </is>
      </c>
    </row>
    <row r="92">
      <c r="A92" s="15" t="inlineStr">
        <is>
          <t>face.blink_count</t>
        </is>
      </c>
      <c r="B92" s="16" t="inlineStr">
        <is>
          <t>A Facial action units</t>
        </is>
      </c>
      <c r="C92" s="16" t="inlineStr">
        <is>
          <t>A8 Blink dynamics</t>
        </is>
      </c>
      <c r="D92" s="16" t="inlineStr">
        <is>
          <t>Blink count</t>
        </is>
      </c>
      <c r="E92" s="16" t="inlineStr">
        <is>
          <t>Derived</t>
        </is>
      </c>
      <c r="F92" s="16" t="inlineStr">
        <is>
          <t>integer, cumulative</t>
        </is>
      </c>
      <c r="G92" s="17" t="n">
        <v>30</v>
      </c>
      <c r="H92" s="18" t="inlineStr">
        <is>
          <t>Measured</t>
        </is>
      </c>
      <c r="I92" s="19" t="inlineStr">
        <is>
          <t>Implemented</t>
        </is>
      </c>
      <c r="J92" s="20" t="inlineStr">
        <is>
          <t>Blinks committed by the hysteresis detector</t>
        </is>
      </c>
      <c r="K92" s="20" t="inlineStr">
        <is>
          <t>Contact lenses and dry air change the rate several-fold</t>
        </is>
      </c>
    </row>
    <row r="93">
      <c r="A93" s="15" t="inlineStr">
        <is>
          <t>face.blink_dur_mean_ms</t>
        </is>
      </c>
      <c r="B93" s="16" t="inlineStr">
        <is>
          <t>A Facial action units</t>
        </is>
      </c>
      <c r="C93" s="16" t="inlineStr">
        <is>
          <t>A8 Blink dynamics</t>
        </is>
      </c>
      <c r="D93" s="16" t="inlineStr">
        <is>
          <t>Mean blink duration</t>
        </is>
      </c>
      <c r="E93" s="16" t="inlineStr">
        <is>
          <t>Derived</t>
        </is>
      </c>
      <c r="F93" s="16" t="inlineStr">
        <is>
          <t>milliseconds</t>
        </is>
      </c>
      <c r="G93" s="17" t="n">
        <v>30</v>
      </c>
      <c r="H93" s="18" t="inlineStr">
        <is>
          <t>Measured</t>
        </is>
      </c>
      <c r="I93" s="19" t="inlineStr">
        <is>
          <t>Implemented</t>
        </is>
      </c>
      <c r="J93" s="20" t="inlineStr">
        <is>
          <t>Eye-closure duration. Long closures track drowsiness</t>
        </is>
      </c>
      <c r="K93" s="20" t="inlineStr">
        <is>
          <t>30 fps sampling quantises this to ~33 ms steps</t>
        </is>
      </c>
    </row>
    <row r="94">
      <c r="A94" s="15" t="inlineStr">
        <is>
          <t>face.interblink_mean_s</t>
        </is>
      </c>
      <c r="B94" s="16" t="inlineStr">
        <is>
          <t>A Facial action units</t>
        </is>
      </c>
      <c r="C94" s="16" t="inlineStr">
        <is>
          <t>A8 Blink dynamics</t>
        </is>
      </c>
      <c r="D94" s="16" t="inlineStr">
        <is>
          <t>Mean inter-blink interval</t>
        </is>
      </c>
      <c r="E94" s="16" t="inlineStr">
        <is>
          <t>Derived</t>
        </is>
      </c>
      <c r="F94" s="16" t="inlineStr">
        <is>
          <t>seconds</t>
        </is>
      </c>
      <c r="G94" s="17" t="n">
        <v>30</v>
      </c>
      <c r="H94" s="18" t="inlineStr">
        <is>
          <t>Measured</t>
        </is>
      </c>
      <c r="I94" s="19" t="inlineStr">
        <is>
          <t>Implemented</t>
        </is>
      </c>
      <c r="J94" s="20" t="inlineStr">
        <is>
          <t>Gap between blinks. Lengthens under focused attention</t>
        </is>
      </c>
      <c r="K94" s="20" t="inlineStr">
        <is>
          <t>Screen exposure suppresses blinking generally</t>
        </is>
      </c>
    </row>
    <row r="95">
      <c r="A95" s="15" t="inlineStr">
        <is>
          <t>face.interblink_cv</t>
        </is>
      </c>
      <c r="B95" s="16" t="inlineStr">
        <is>
          <t>A Facial action units</t>
        </is>
      </c>
      <c r="C95" s="16" t="inlineStr">
        <is>
          <t>A8 Blink dynamics</t>
        </is>
      </c>
      <c r="D95" s="16" t="inlineStr">
        <is>
          <t>Inter-blink variability</t>
        </is>
      </c>
      <c r="E95" s="16" t="inlineStr">
        <is>
          <t>Derived</t>
        </is>
      </c>
      <c r="F95" s="16" t="inlineStr">
        <is>
          <t>coefficient of variation</t>
        </is>
      </c>
      <c r="G95" s="17" t="n">
        <v>30</v>
      </c>
      <c r="H95" s="21" t="inlineStr">
        <is>
          <t>Weak inference</t>
        </is>
      </c>
      <c r="I95" s="19" t="inlineStr">
        <is>
          <t>Implemented</t>
        </is>
      </c>
      <c r="J95" s="20" t="inlineStr">
        <is>
          <t>Regularity of blinking. Irregularity rises with cognitive load</t>
        </is>
      </c>
      <c r="K95" s="20" t="inlineStr">
        <is>
          <t>Needs several minutes of data to stabilise</t>
        </is>
      </c>
    </row>
    <row r="96">
      <c r="A96" s="15" t="inlineStr">
        <is>
          <t>face.gaze_x</t>
        </is>
      </c>
      <c r="B96" s="16" t="inlineStr">
        <is>
          <t>A Facial action units</t>
        </is>
      </c>
      <c r="C96" s="16" t="inlineStr">
        <is>
          <t>A9 Gaze</t>
        </is>
      </c>
      <c r="D96" s="16" t="inlineStr">
        <is>
          <t>Gaze horizontal</t>
        </is>
      </c>
      <c r="E96" s="16" t="inlineStr">
        <is>
          <t>Derived</t>
        </is>
      </c>
      <c r="F96" s="16" t="inlineStr">
        <is>
          <t>-1.0 to +1.0</t>
        </is>
      </c>
      <c r="G96" s="17" t="n">
        <v>30</v>
      </c>
      <c r="H96" s="18" t="inlineStr">
        <is>
          <t>Measured</t>
        </is>
      </c>
      <c r="I96" s="19" t="inlineStr">
        <is>
          <t>Implemented</t>
        </is>
      </c>
      <c r="J96" s="20" t="inlineStr">
        <is>
          <t>Eye deviation left/right, independent of head pose</t>
        </is>
      </c>
      <c r="K96" s="20" t="inlineStr">
        <is>
          <t>Where the interviewer's video tile sits on screen</t>
        </is>
      </c>
    </row>
    <row r="97">
      <c r="A97" s="15" t="inlineStr">
        <is>
          <t>face.gaze_y</t>
        </is>
      </c>
      <c r="B97" s="16" t="inlineStr">
        <is>
          <t>A Facial action units</t>
        </is>
      </c>
      <c r="C97" s="16" t="inlineStr">
        <is>
          <t>A9 Gaze</t>
        </is>
      </c>
      <c r="D97" s="16" t="inlineStr">
        <is>
          <t>Gaze vertical</t>
        </is>
      </c>
      <c r="E97" s="16" t="inlineStr">
        <is>
          <t>Derived</t>
        </is>
      </c>
      <c r="F97" s="16" t="inlineStr">
        <is>
          <t>-1.0 to +1.0</t>
        </is>
      </c>
      <c r="G97" s="17" t="n">
        <v>30</v>
      </c>
      <c r="H97" s="18" t="inlineStr">
        <is>
          <t>Measured</t>
        </is>
      </c>
      <c r="I97" s="19" t="inlineStr">
        <is>
          <t>Implemented</t>
        </is>
      </c>
      <c r="J97" s="20" t="inlineStr">
        <is>
          <t>Eye deviation up/down</t>
        </is>
      </c>
      <c r="K97" s="20" t="inlineStr">
        <is>
          <t>Notes or a second monitor</t>
        </is>
      </c>
    </row>
    <row r="98">
      <c r="A98" s="15" t="inlineStr">
        <is>
          <t>face.gaze_magnitude</t>
        </is>
      </c>
      <c r="B98" s="16" t="inlineStr">
        <is>
          <t>A Facial action units</t>
        </is>
      </c>
      <c r="C98" s="16" t="inlineStr">
        <is>
          <t>A9 Gaze</t>
        </is>
      </c>
      <c r="D98" s="16" t="inlineStr">
        <is>
          <t>Gaze deviation</t>
        </is>
      </c>
      <c r="E98" s="16" t="inlineStr">
        <is>
          <t>Derived</t>
        </is>
      </c>
      <c r="F98" s="16" t="inlineStr">
        <is>
          <t>0.0-1.4</t>
        </is>
      </c>
      <c r="G98" s="17" t="n">
        <v>30</v>
      </c>
      <c r="H98" s="18" t="inlineStr">
        <is>
          <t>Measured</t>
        </is>
      </c>
      <c r="I98" s="19" t="inlineStr">
        <is>
          <t>Implemented</t>
        </is>
      </c>
      <c r="J98" s="20" t="inlineStr">
        <is>
          <t>Distance of gaze from centre</t>
        </is>
      </c>
      <c r="K98" s="20" t="inlineStr">
        <is>
          <t>As above</t>
        </is>
      </c>
    </row>
    <row r="99">
      <c r="A99" s="15" t="inlineStr">
        <is>
          <t>face.gaze_on_camera_ratio</t>
        </is>
      </c>
      <c r="B99" s="16" t="inlineStr">
        <is>
          <t>A Facial action units</t>
        </is>
      </c>
      <c r="C99" s="16" t="inlineStr">
        <is>
          <t>A9 Gaze</t>
        </is>
      </c>
      <c r="D99" s="16" t="inlineStr">
        <is>
          <t>Gaze-to-camera ratio</t>
        </is>
      </c>
      <c r="E99" s="16" t="inlineStr">
        <is>
          <t>Derived</t>
        </is>
      </c>
      <c r="F99" s="16" t="inlineStr">
        <is>
          <t>0.0-1.0, 30 s window</t>
        </is>
      </c>
      <c r="G99" s="17" t="n">
        <v>1</v>
      </c>
      <c r="H99" s="21" t="inlineStr">
        <is>
          <t>Weak inference</t>
        </is>
      </c>
      <c r="I99" s="19" t="inlineStr">
        <is>
          <t>Implemented</t>
        </is>
      </c>
      <c r="J99" s="20" t="inlineStr">
        <is>
          <t>Fraction of time gaze and head are both near-frontal</t>
        </is>
      </c>
      <c r="K99" s="20" t="inlineStr">
        <is>
          <t>Screen layout dominates this. Direct-gaze norms vary sharply by culture and by seniority. NOT an honesty signal</t>
        </is>
      </c>
    </row>
    <row r="100">
      <c r="A100" s="15" t="inlineStr">
        <is>
          <t>face.au_activation_sum</t>
        </is>
      </c>
      <c r="B100" s="16" t="inlineStr">
        <is>
          <t>A Facial action units</t>
        </is>
      </c>
      <c r="C100" s="16" t="inlineStr">
        <is>
          <t>A10 Expressivity</t>
        </is>
      </c>
      <c r="D100" s="16" t="inlineStr">
        <is>
          <t>Total AU activation</t>
        </is>
      </c>
      <c r="E100" s="16" t="inlineStr">
        <is>
          <t>Derived</t>
        </is>
      </c>
      <c r="F100" s="16" t="inlineStr">
        <is>
          <t>sum of 26 AUs</t>
        </is>
      </c>
      <c r="G100" s="17" t="n">
        <v>30</v>
      </c>
      <c r="H100" s="18" t="inlineStr">
        <is>
          <t>Measured</t>
        </is>
      </c>
      <c r="I100" s="19" t="inlineStr">
        <is>
          <t>Implemented</t>
        </is>
      </c>
      <c r="J100" s="20" t="inlineStr">
        <is>
          <t>Overall facial movement magnitude</t>
        </is>
      </c>
      <c r="K100" s="20" t="inlineStr">
        <is>
          <t>Resting-face anatomy shifts the baseline between people</t>
        </is>
      </c>
    </row>
    <row r="101">
      <c r="A101" s="15" t="inlineStr">
        <is>
          <t>face.au_active_count</t>
        </is>
      </c>
      <c r="B101" s="16" t="inlineStr">
        <is>
          <t>A Facial action units</t>
        </is>
      </c>
      <c r="C101" s="16" t="inlineStr">
        <is>
          <t>A10 Expressivity</t>
        </is>
      </c>
      <c r="D101" s="16" t="inlineStr">
        <is>
          <t>Active AU count</t>
        </is>
      </c>
      <c r="E101" s="16" t="inlineStr">
        <is>
          <t>Derived</t>
        </is>
      </c>
      <c r="F101" s="16" t="inlineStr">
        <is>
          <t>0-26 integer</t>
        </is>
      </c>
      <c r="G101" s="17" t="n">
        <v>30</v>
      </c>
      <c r="H101" s="18" t="inlineStr">
        <is>
          <t>Measured</t>
        </is>
      </c>
      <c r="I101" s="19" t="inlineStr">
        <is>
          <t>Implemented</t>
        </is>
      </c>
      <c r="J101" s="20" t="inlineStr">
        <is>
          <t>How many AUs exceed 0.15 simultaneously</t>
        </is>
      </c>
      <c r="K101" s="20" t="inlineStr">
        <is>
          <t>Threshold is a chosen constant</t>
        </is>
      </c>
    </row>
    <row r="102">
      <c r="A102" s="15" t="inlineStr">
        <is>
          <t>face.smile_duchenne</t>
        </is>
      </c>
      <c r="B102" s="16" t="inlineStr">
        <is>
          <t>A Facial action units</t>
        </is>
      </c>
      <c r="C102" s="16" t="inlineStr">
        <is>
          <t>A10 Expressivity</t>
        </is>
      </c>
      <c r="D102" s="16" t="inlineStr">
        <is>
          <t>Duchenne smile index</t>
        </is>
      </c>
      <c r="E102" s="16" t="inlineStr">
        <is>
          <t>Derived</t>
        </is>
      </c>
      <c r="F102" s="16" t="inlineStr">
        <is>
          <t>0.0-1.0</t>
        </is>
      </c>
      <c r="G102" s="17" t="n">
        <v>30</v>
      </c>
      <c r="H102" s="21" t="inlineStr">
        <is>
          <t>Weak inference</t>
        </is>
      </c>
      <c r="I102" s="19" t="inlineStr">
        <is>
          <t>Implemented</t>
        </is>
      </c>
      <c r="J102" s="20" t="inlineStr">
        <is>
          <t>min(AU06, AU12) — the felt-smile marker. Well replicated as a distinction between smile types</t>
        </is>
      </c>
      <c r="K102" s="20" t="inlineStr">
        <is>
          <t>Says something about the smile, not about the person</t>
        </is>
      </c>
    </row>
    <row r="103">
      <c r="A103" s="15" t="inlineStr">
        <is>
          <t>face.smile_social</t>
        </is>
      </c>
      <c r="B103" s="16" t="inlineStr">
        <is>
          <t>A Facial action units</t>
        </is>
      </c>
      <c r="C103" s="16" t="inlineStr">
        <is>
          <t>A10 Expressivity</t>
        </is>
      </c>
      <c r="D103" s="16" t="inlineStr">
        <is>
          <t>Social smile index</t>
        </is>
      </c>
      <c r="E103" s="16" t="inlineStr">
        <is>
          <t>Derived</t>
        </is>
      </c>
      <c r="F103" s="16" t="inlineStr">
        <is>
          <t>0.0-1.0</t>
        </is>
      </c>
      <c r="G103" s="17" t="n">
        <v>30</v>
      </c>
      <c r="H103" s="21" t="inlineStr">
        <is>
          <t>Weak inference</t>
        </is>
      </c>
      <c r="I103" s="19" t="inlineStr">
        <is>
          <t>Implemented</t>
        </is>
      </c>
      <c r="J103" s="20" t="inlineStr">
        <is>
          <t>max(0, AU12 - AU06) — polite smiling without eye involvement</t>
        </is>
      </c>
      <c r="K103" s="20" t="inlineStr">
        <is>
          <t>Polite smiling is a professional norm, not a tell</t>
        </is>
      </c>
    </row>
    <row r="104">
      <c r="A104" s="15" t="inlineStr">
        <is>
          <t>body.shoulder_tilt_deg</t>
        </is>
      </c>
      <c r="B104" s="16" t="inlineStr">
        <is>
          <t>B Upper-body kinesics</t>
        </is>
      </c>
      <c r="C104" s="16" t="inlineStr">
        <is>
          <t>B1 Posture and gesture</t>
        </is>
      </c>
      <c r="D104" s="16" t="inlineStr">
        <is>
          <t>Shoulder line tilt</t>
        </is>
      </c>
      <c r="E104" s="16" t="inlineStr">
        <is>
          <t>Derived</t>
        </is>
      </c>
      <c r="F104" s="16" t="inlineStr">
        <is>
          <t>degrees</t>
        </is>
      </c>
      <c r="G104" s="17" t="n">
        <v>15</v>
      </c>
      <c r="H104" s="18" t="inlineStr">
        <is>
          <t>Measured</t>
        </is>
      </c>
      <c r="I104" s="19" t="inlineStr">
        <is>
          <t>Implemented</t>
        </is>
      </c>
      <c r="J104" s="20" t="inlineStr">
        <is>
          <t>Angle of the line between the shoulder joints</t>
        </is>
      </c>
      <c r="K104" s="20" t="inlineStr">
        <is>
          <t>Chair design and desk height, more than posture</t>
        </is>
      </c>
    </row>
    <row r="105">
      <c r="A105" s="15" t="inlineStr">
        <is>
          <t>body.lean_index</t>
        </is>
      </c>
      <c r="B105" s="16" t="inlineStr">
        <is>
          <t>B Upper-body kinesics</t>
        </is>
      </c>
      <c r="C105" s="16" t="inlineStr">
        <is>
          <t>B1 Posture and gesture</t>
        </is>
      </c>
      <c r="D105" s="16" t="inlineStr">
        <is>
          <t>Lean index</t>
        </is>
      </c>
      <c r="E105" s="16" t="inlineStr">
        <is>
          <t>Derived</t>
        </is>
      </c>
      <c r="F105" s="16" t="inlineStr">
        <is>
          <t>ratio vs. session baseline</t>
        </is>
      </c>
      <c r="G105" s="17" t="n">
        <v>15</v>
      </c>
      <c r="H105" s="18" t="inlineStr">
        <is>
          <t>Measured</t>
        </is>
      </c>
      <c r="I105" s="19" t="inlineStr">
        <is>
          <t>Implemented</t>
        </is>
      </c>
      <c r="J105" s="20" t="inlineStr">
        <is>
          <t>Shoulder width relative to the session start — a proximity proxy</t>
        </is>
      </c>
      <c r="K105" s="20" t="inlineStr">
        <is>
          <t>Laptop vs. desktop working distance</t>
        </is>
      </c>
    </row>
    <row r="106">
      <c r="A106" s="15" t="inlineStr">
        <is>
          <t>body.postural_sway</t>
        </is>
      </c>
      <c r="B106" s="16" t="inlineStr">
        <is>
          <t>B Upper-body kinesics</t>
        </is>
      </c>
      <c r="C106" s="16" t="inlineStr">
        <is>
          <t>B1 Posture and gesture</t>
        </is>
      </c>
      <c r="D106" s="16" t="inlineStr">
        <is>
          <t>Postural sway</t>
        </is>
      </c>
      <c r="E106" s="16" t="inlineStr">
        <is>
          <t>Derived</t>
        </is>
      </c>
      <c r="F106" s="16" t="inlineStr">
        <is>
          <t>normalised displacement / 5 s</t>
        </is>
      </c>
      <c r="G106" s="17" t="n">
        <v>15</v>
      </c>
      <c r="H106" s="18" t="inlineStr">
        <is>
          <t>Measured</t>
        </is>
      </c>
      <c r="I106" s="19" t="inlineStr">
        <is>
          <t>Implemented</t>
        </is>
      </c>
      <c r="J106" s="20" t="inlineStr">
        <is>
          <t>Shoulder-midpoint movement energy</t>
        </is>
      </c>
      <c r="K106" s="20" t="inlineStr">
        <is>
          <t>Swivel and wheeled chairs</t>
        </is>
      </c>
    </row>
    <row r="107">
      <c r="A107" s="15" t="inlineStr">
        <is>
          <t>body.gesture_energy</t>
        </is>
      </c>
      <c r="B107" s="16" t="inlineStr">
        <is>
          <t>B Upper-body kinesics</t>
        </is>
      </c>
      <c r="C107" s="16" t="inlineStr">
        <is>
          <t>B1 Posture and gesture</t>
        </is>
      </c>
      <c r="D107" s="16" t="inlineStr">
        <is>
          <t>Gesture energy</t>
        </is>
      </c>
      <c r="E107" s="16" t="inlineStr">
        <is>
          <t>Derived</t>
        </is>
      </c>
      <c r="F107" s="16" t="inlineStr">
        <is>
          <t>normalised wrist velocity</t>
        </is>
      </c>
      <c r="G107" s="17" t="n">
        <v>15</v>
      </c>
      <c r="H107" s="18" t="inlineStr">
        <is>
          <t>Measured</t>
        </is>
      </c>
      <c r="I107" s="19" t="inlineStr">
        <is>
          <t>Implemented</t>
        </is>
      </c>
      <c r="J107" s="20" t="inlineStr">
        <is>
          <t>How actively the hands move while speaking</t>
        </is>
      </c>
      <c r="K107" s="20" t="inlineStr">
        <is>
          <t>Most webcam framing crops the hands out entirely</t>
        </is>
      </c>
    </row>
    <row r="108">
      <c r="A108" s="15" t="inlineStr">
        <is>
          <t>body.gesture_amplitude</t>
        </is>
      </c>
      <c r="B108" s="16" t="inlineStr">
        <is>
          <t>B Upper-body kinesics</t>
        </is>
      </c>
      <c r="C108" s="16" t="inlineStr">
        <is>
          <t>B1 Posture and gesture</t>
        </is>
      </c>
      <c r="D108" s="16" t="inlineStr">
        <is>
          <t>Gesture amplitude</t>
        </is>
      </c>
      <c r="E108" s="16" t="inlineStr">
        <is>
          <t>Derived</t>
        </is>
      </c>
      <c r="F108" s="16" t="inlineStr">
        <is>
          <t>normalised spread</t>
        </is>
      </c>
      <c r="G108" s="17" t="n">
        <v>15</v>
      </c>
      <c r="H108" s="18" t="inlineStr">
        <is>
          <t>Measured</t>
        </is>
      </c>
      <c r="I108" s="19" t="inlineStr">
        <is>
          <t>Implemented</t>
        </is>
      </c>
      <c r="J108" s="20" t="inlineStr">
        <is>
          <t>How large the gesture space is</t>
        </is>
      </c>
      <c r="K108" s="20" t="inlineStr">
        <is>
          <t>Strong cultural variation in baseline gesture size</t>
        </is>
      </c>
    </row>
    <row r="109">
      <c r="A109" s="15" t="inlineStr">
        <is>
          <t>body.hands_visible_ratio</t>
        </is>
      </c>
      <c r="B109" s="16" t="inlineStr">
        <is>
          <t>B Upper-body kinesics</t>
        </is>
      </c>
      <c r="C109" s="16" t="inlineStr">
        <is>
          <t>B1 Posture and gesture</t>
        </is>
      </c>
      <c r="D109" s="16" t="inlineStr">
        <is>
          <t>Hands-visible ratio</t>
        </is>
      </c>
      <c r="E109" s="16" t="inlineStr">
        <is>
          <t>Derived</t>
        </is>
      </c>
      <c r="F109" s="16" t="inlineStr">
        <is>
          <t>0.0-1.0, 30 s</t>
        </is>
      </c>
      <c r="G109" s="17" t="n">
        <v>15</v>
      </c>
      <c r="H109" s="18" t="inlineStr">
        <is>
          <t>Measured</t>
        </is>
      </c>
      <c r="I109" s="19" t="inlineStr">
        <is>
          <t>Implemented</t>
        </is>
      </c>
      <c r="J109" s="20" t="inlineStr">
        <is>
          <t>Fraction of frames with a wrist detected</t>
        </is>
      </c>
      <c r="K109" s="20" t="inlineStr">
        <is>
          <t>This measures camera framing, not behaviour</t>
        </is>
      </c>
    </row>
    <row r="110">
      <c r="A110" s="15" t="inlineStr">
        <is>
          <t>body.self_touch_ratio</t>
        </is>
      </c>
      <c r="B110" s="16" t="inlineStr">
        <is>
          <t>B Upper-body kinesics</t>
        </is>
      </c>
      <c r="C110" s="16" t="inlineStr">
        <is>
          <t>B1 Posture and gesture</t>
        </is>
      </c>
      <c r="D110" s="16" t="inlineStr">
        <is>
          <t>Self-touch (adaptors)</t>
        </is>
      </c>
      <c r="E110" s="16" t="inlineStr">
        <is>
          <t>Derived</t>
        </is>
      </c>
      <c r="F110" s="16" t="inlineStr">
        <is>
          <t>0.0-1.0, 30 s</t>
        </is>
      </c>
      <c r="G110" s="17" t="n">
        <v>15</v>
      </c>
      <c r="H110" s="21" t="inlineStr">
        <is>
          <t>Weak inference</t>
        </is>
      </c>
      <c r="I110" s="19" t="inlineStr">
        <is>
          <t>Implemented</t>
        </is>
      </c>
      <c r="J110" s="20" t="inlineStr">
        <is>
          <t>Hand-to-face or hand-to-neck contact frequency. Rises with general arousal, which includes ordinary interview nerves</t>
        </is>
      </c>
      <c r="K110" s="20" t="inlineStr">
        <is>
          <t>Explicitly NOT a deception cue — that claim is unsupported</t>
        </is>
      </c>
    </row>
    <row r="111">
      <c r="A111" s="15" t="inlineStr">
        <is>
          <t>body.nod_rate</t>
        </is>
      </c>
      <c r="B111" s="16" t="inlineStr">
        <is>
          <t>B Upper-body kinesics</t>
        </is>
      </c>
      <c r="C111" s="16" t="inlineStr">
        <is>
          <t>B1 Posture and gesture</t>
        </is>
      </c>
      <c r="D111" s="16" t="inlineStr">
        <is>
          <t>Head nod rate</t>
        </is>
      </c>
      <c r="E111" s="16" t="inlineStr">
        <is>
          <t>Derived</t>
        </is>
      </c>
      <c r="F111" s="16" t="inlineStr">
        <is>
          <t>nods/min</t>
        </is>
      </c>
      <c r="G111" s="17" t="n">
        <v>15</v>
      </c>
      <c r="H111" s="18" t="inlineStr">
        <is>
          <t>Measured</t>
        </is>
      </c>
      <c r="I111" s="22" t="inlineStr">
        <is>
          <t>Phase 1</t>
        </is>
      </c>
      <c r="J111" s="20" t="inlineStr">
        <is>
          <t>Periodicity in the pitch channel</t>
        </is>
      </c>
      <c r="K111" s="20" t="inlineStr">
        <is>
          <t>The Indian head bob is a distinct gesture a naive model will misclassify as a nod or a shake</t>
        </is>
      </c>
    </row>
    <row r="112">
      <c r="A112" s="15" t="inlineStr">
        <is>
          <t>body.shake_rate</t>
        </is>
      </c>
      <c r="B112" s="16" t="inlineStr">
        <is>
          <t>B Upper-body kinesics</t>
        </is>
      </c>
      <c r="C112" s="16" t="inlineStr">
        <is>
          <t>B1 Posture and gesture</t>
        </is>
      </c>
      <c r="D112" s="16" t="inlineStr">
        <is>
          <t>Head shake rate</t>
        </is>
      </c>
      <c r="E112" s="16" t="inlineStr">
        <is>
          <t>Derived</t>
        </is>
      </c>
      <c r="F112" s="16" t="inlineStr">
        <is>
          <t>shakes/min</t>
        </is>
      </c>
      <c r="G112" s="17" t="n">
        <v>15</v>
      </c>
      <c r="H112" s="18" t="inlineStr">
        <is>
          <t>Measured</t>
        </is>
      </c>
      <c r="I112" s="22" t="inlineStr">
        <is>
          <t>Phase 1</t>
        </is>
      </c>
      <c r="J112" s="20" t="inlineStr">
        <is>
          <t>Periodicity in the yaw channel</t>
        </is>
      </c>
      <c r="K112" s="20" t="inlineStr">
        <is>
          <t>As above</t>
        </is>
      </c>
    </row>
    <row r="113">
      <c r="A113" s="15" t="inlineStr">
        <is>
          <t>body.shoulder_width_norm</t>
        </is>
      </c>
      <c r="B113" s="16" t="inlineStr">
        <is>
          <t>B Upper-body kinesics</t>
        </is>
      </c>
      <c r="C113" s="16" t="inlineStr">
        <is>
          <t>B1 Posture and gesture</t>
        </is>
      </c>
      <c r="D113" s="16" t="inlineStr">
        <is>
          <t>Shoulder width</t>
        </is>
      </c>
      <c r="E113" s="16" t="inlineStr">
        <is>
          <t>Derived</t>
        </is>
      </c>
      <c r="F113" s="16" t="inlineStr">
        <is>
          <t>normalised image units</t>
        </is>
      </c>
      <c r="G113" s="17" t="n">
        <v>15</v>
      </c>
      <c r="H113" s="18" t="inlineStr">
        <is>
          <t>Measured</t>
        </is>
      </c>
      <c r="I113" s="19" t="inlineStr">
        <is>
          <t>Implemented</t>
        </is>
      </c>
      <c r="J113" s="20" t="inlineStr">
        <is>
          <t>Raw scale input for the lean index</t>
        </is>
      </c>
      <c r="K113" s="20" t="inlineStr">
        <is>
          <t>Clothing bulk</t>
        </is>
      </c>
    </row>
    <row r="114">
      <c r="A114" s="15" t="inlineStr">
        <is>
          <t>body.pose_visibility</t>
        </is>
      </c>
      <c r="B114" s="16" t="inlineStr">
        <is>
          <t>B Upper-body kinesics</t>
        </is>
      </c>
      <c r="C114" s="16" t="inlineStr">
        <is>
          <t>B1 Posture and gesture</t>
        </is>
      </c>
      <c r="D114" s="16" t="inlineStr">
        <is>
          <t>Pose visibility</t>
        </is>
      </c>
      <c r="E114" s="16" t="inlineStr">
        <is>
          <t>Derived</t>
        </is>
      </c>
      <c r="F114" s="16" t="inlineStr">
        <is>
          <t>0.0-1.0</t>
        </is>
      </c>
      <c r="G114" s="17" t="n">
        <v>15</v>
      </c>
      <c r="H114" s="18" t="inlineStr">
        <is>
          <t>Measured</t>
        </is>
      </c>
      <c r="I114" s="19" t="inlineStr">
        <is>
          <t>Implemented</t>
        </is>
      </c>
      <c r="J114" s="20" t="inlineStr">
        <is>
          <t>Landmark confidence for shoulders and nose</t>
        </is>
      </c>
      <c r="K114" s="20" t="inlineStr">
        <is>
          <t>Quality gate — low values invalidate the whole group</t>
        </is>
      </c>
    </row>
    <row r="115">
      <c r="A115" s="15" t="inlineStr">
        <is>
          <t>physio.bpm</t>
        </is>
      </c>
      <c r="B115" s="16" t="inlineStr">
        <is>
          <t>C Physiological (rPPG)</t>
        </is>
      </c>
      <c r="C115" s="16" t="inlineStr">
        <is>
          <t>C1 Cardiac</t>
        </is>
      </c>
      <c r="D115" s="16" t="inlineStr">
        <is>
          <t>Pulse rate</t>
        </is>
      </c>
      <c r="E115" s="16" t="inlineStr">
        <is>
          <t>Derived</t>
        </is>
      </c>
      <c r="F115" s="16" t="inlineStr">
        <is>
          <t>beats/min, 42-180</t>
        </is>
      </c>
      <c r="G115" s="17" t="n">
        <v>1</v>
      </c>
      <c r="H115" s="18" t="inlineStr">
        <is>
          <t>Measured</t>
        </is>
      </c>
      <c r="I115" s="19" t="inlineStr">
        <is>
          <t>Implemented</t>
        </is>
      </c>
      <c r="J115" s="20" t="inlineStr">
        <is>
          <t>Cardiac pulse recovered from facial skin colour change (POS algorithm)</t>
        </is>
      </c>
      <c r="K115" s="20" t="inlineStr">
        <is>
          <t>~5.5 BPM field error on webcam video; degrades with darker skin tones, motion and talking</t>
        </is>
      </c>
    </row>
    <row r="116">
      <c r="A116" s="15" t="inlineStr">
        <is>
          <t>physio.sqi</t>
        </is>
      </c>
      <c r="B116" s="16" t="inlineStr">
        <is>
          <t>C Physiological (rPPG)</t>
        </is>
      </c>
      <c r="C116" s="16" t="inlineStr">
        <is>
          <t>C1 Cardiac</t>
        </is>
      </c>
      <c r="D116" s="16" t="inlineStr">
        <is>
          <t>Signal quality index</t>
        </is>
      </c>
      <c r="E116" s="16" t="inlineStr">
        <is>
          <t>Derived</t>
        </is>
      </c>
      <c r="F116" s="16" t="inlineStr">
        <is>
          <t>0.0-1.0</t>
        </is>
      </c>
      <c r="G116" s="17" t="n">
        <v>1</v>
      </c>
      <c r="H116" s="18" t="inlineStr">
        <is>
          <t>Measured</t>
        </is>
      </c>
      <c r="I116" s="19" t="inlineStr">
        <is>
          <t>Implemented</t>
        </is>
      </c>
      <c r="J116" s="20" t="inlineStr">
        <is>
          <t>Spectral peak concentration. Below 0.35 the estimate is discarded</t>
        </is>
      </c>
      <c r="K116" s="20" t="inlineStr">
        <is>
          <t>Mandatory gate — never display a BPM without it</t>
        </is>
      </c>
    </row>
    <row r="117">
      <c r="A117" s="15" t="inlineStr">
        <is>
          <t>physio.roi_spread_bpm</t>
        </is>
      </c>
      <c r="B117" s="16" t="inlineStr">
        <is>
          <t>C Physiological (rPPG)</t>
        </is>
      </c>
      <c r="C117" s="16" t="inlineStr">
        <is>
          <t>C1 Cardiac</t>
        </is>
      </c>
      <c r="D117" s="16" t="inlineStr">
        <is>
          <t>ROI disagreement</t>
        </is>
      </c>
      <c r="E117" s="16" t="inlineStr">
        <is>
          <t>Derived</t>
        </is>
      </c>
      <c r="F117" s="16" t="inlineStr">
        <is>
          <t>BPM</t>
        </is>
      </c>
      <c r="G117" s="17" t="n">
        <v>1</v>
      </c>
      <c r="H117" s="18" t="inlineStr">
        <is>
          <t>Measured</t>
        </is>
      </c>
      <c r="I117" s="19" t="inlineStr">
        <is>
          <t>Implemented</t>
        </is>
      </c>
      <c r="J117" s="20" t="inlineStr">
        <is>
          <t>Spread between forehead and both cheek estimates. A cross-check: wide spread means the number is unreliable however good the SQI looks</t>
        </is>
      </c>
      <c r="K117" s="20" t="inlineStr">
        <is>
          <t>Needs all three ROIs visible</t>
        </is>
      </c>
    </row>
    <row r="118">
      <c r="A118" s="15" t="inlineStr">
        <is>
          <t>physio.bpm_delta_baseline</t>
        </is>
      </c>
      <c r="B118" s="16" t="inlineStr">
        <is>
          <t>C Physiological (rPPG)</t>
        </is>
      </c>
      <c r="C118" s="16" t="inlineStr">
        <is>
          <t>C1 Cardiac</t>
        </is>
      </c>
      <c r="D118" s="16" t="inlineStr">
        <is>
          <t>Pulse change vs. baseline</t>
        </is>
      </c>
      <c r="E118" s="16" t="inlineStr">
        <is>
          <t>Derived</t>
        </is>
      </c>
      <c r="F118" s="16" t="inlineStr">
        <is>
          <t>BPM difference</t>
        </is>
      </c>
      <c r="G118" s="17" t="n">
        <v>1</v>
      </c>
      <c r="H118" s="21" t="inlineStr">
        <is>
          <t>Weak inference</t>
        </is>
      </c>
      <c r="I118" s="22" t="inlineStr">
        <is>
          <t>Phase 2</t>
        </is>
      </c>
      <c r="J118" s="20" t="inlineStr">
        <is>
          <t>Deviation from the subject's own settled baseline. More robust than absolute BPM because it cancels per-person offset</t>
        </is>
      </c>
      <c r="K118" s="20" t="inlineStr">
        <is>
          <t>Posture change and speaking both raise it independently of any psychological state</t>
        </is>
      </c>
    </row>
    <row r="119">
      <c r="A119" s="15" t="inlineStr">
        <is>
          <t>physio.resp_rate</t>
        </is>
      </c>
      <c r="B119" s="16" t="inlineStr">
        <is>
          <t>C Physiological (rPPG)</t>
        </is>
      </c>
      <c r="C119" s="16" t="inlineStr">
        <is>
          <t>C1 Cardiac</t>
        </is>
      </c>
      <c r="D119" s="16" t="inlineStr">
        <is>
          <t>Respiration rate</t>
        </is>
      </c>
      <c r="E119" s="16" t="inlineStr">
        <is>
          <t>Derived</t>
        </is>
      </c>
      <c r="F119" s="16" t="inlineStr">
        <is>
          <t>breaths/min</t>
        </is>
      </c>
      <c r="G119" s="17" t="n">
        <v>1</v>
      </c>
      <c r="H119" s="21" t="inlineStr">
        <is>
          <t>Weak inference</t>
        </is>
      </c>
      <c r="I119" s="22" t="inlineStr">
        <is>
          <t>Phase 2</t>
        </is>
      </c>
      <c r="J119" s="20" t="inlineStr">
        <is>
          <t>Extracted from the pulse-signal envelope</t>
        </is>
      </c>
      <c r="K119" s="20" t="inlineStr">
        <is>
          <t>Needs a still subject; largely unusable while speaking</t>
        </is>
      </c>
    </row>
    <row r="120">
      <c r="A120" s="15" t="inlineStr">
        <is>
          <t>physio.hrv_sdnn</t>
        </is>
      </c>
      <c r="B120" s="16" t="inlineStr">
        <is>
          <t>C Physiological (rPPG)</t>
        </is>
      </c>
      <c r="C120" s="16" t="inlineStr">
        <is>
          <t>C1 Cardiac</t>
        </is>
      </c>
      <c r="D120" s="16" t="inlineStr">
        <is>
          <t>HRV — SDNN</t>
        </is>
      </c>
      <c r="E120" s="16" t="inlineStr">
        <is>
          <t>Derived</t>
        </is>
      </c>
      <c r="F120" s="16" t="inlineStr">
        <is>
          <t>milliseconds</t>
        </is>
      </c>
      <c r="G120" s="17" t="n">
        <v>1</v>
      </c>
      <c r="H120" s="23" t="inlineStr">
        <is>
          <t>Do not ship</t>
        </is>
      </c>
      <c r="I120" s="24" t="inlineStr">
        <is>
          <t>Excluded</t>
        </is>
      </c>
      <c r="J120" s="20" t="inlineStr">
        <is>
          <t>Beat-to-beat variability</t>
        </is>
      </c>
      <c r="K120" s="20" t="inlineStr">
        <is>
          <t>Requires beat-level peak timing that webcam video in a talking-head scenario cannot deliver. Use a chest strap or drop it</t>
        </is>
      </c>
    </row>
    <row r="121">
      <c r="A121" s="15" t="inlineStr">
        <is>
          <t>physio.hrv_rmssd</t>
        </is>
      </c>
      <c r="B121" s="16" t="inlineStr">
        <is>
          <t>C Physiological (rPPG)</t>
        </is>
      </c>
      <c r="C121" s="16" t="inlineStr">
        <is>
          <t>C1 Cardiac</t>
        </is>
      </c>
      <c r="D121" s="16" t="inlineStr">
        <is>
          <t>HRV — RMSSD</t>
        </is>
      </c>
      <c r="E121" s="16" t="inlineStr">
        <is>
          <t>Derived</t>
        </is>
      </c>
      <c r="F121" s="16" t="inlineStr">
        <is>
          <t>milliseconds</t>
        </is>
      </c>
      <c r="G121" s="17" t="n">
        <v>1</v>
      </c>
      <c r="H121" s="23" t="inlineStr">
        <is>
          <t>Do not ship</t>
        </is>
      </c>
      <c r="I121" s="24" t="inlineStr">
        <is>
          <t>Excluded</t>
        </is>
      </c>
      <c r="J121" s="20" t="inlineStr">
        <is>
          <t>Short-term parasympathetic variability index</t>
        </is>
      </c>
      <c r="K121" s="20" t="inlineStr">
        <is>
          <t>As above</t>
        </is>
      </c>
    </row>
    <row r="122">
      <c r="A122" s="15" t="inlineStr">
        <is>
          <t>physio.stress_index</t>
        </is>
      </c>
      <c r="B122" s="16" t="inlineStr">
        <is>
          <t>C Physiological (rPPG)</t>
        </is>
      </c>
      <c r="C122" s="16" t="inlineStr">
        <is>
          <t>C1 Cardiac</t>
        </is>
      </c>
      <c r="D122" s="16" t="inlineStr">
        <is>
          <t>Stress / deception index</t>
        </is>
      </c>
      <c r="E122" s="16" t="inlineStr">
        <is>
          <t>Derived</t>
        </is>
      </c>
      <c r="F122" s="16" t="inlineStr">
        <is>
          <t>—</t>
        </is>
      </c>
      <c r="G122" s="17" t="n">
        <v>1</v>
      </c>
      <c r="H122" s="23" t="inlineStr">
        <is>
          <t>Do not ship</t>
        </is>
      </c>
      <c r="I122" s="24" t="inlineStr">
        <is>
          <t>Excluded</t>
        </is>
      </c>
      <c r="J122" s="20" t="inlineStr">
        <is>
          <t>No validated mapping exists from pulse to either construct in this setting</t>
        </is>
      </c>
      <c r="K122" s="20" t="inlineStr">
        <is>
          <t>Do not build this</t>
        </is>
      </c>
    </row>
    <row r="123">
      <c r="A123" s="15" t="inlineStr">
        <is>
          <t>audio.f0_mean</t>
        </is>
      </c>
      <c r="B123" s="16" t="inlineStr">
        <is>
          <t>D Vocal prosody</t>
        </is>
      </c>
      <c r="C123" s="16" t="inlineStr">
        <is>
          <t>D1 Pitch</t>
        </is>
      </c>
      <c r="D123" s="16" t="inlineStr">
        <is>
          <t>Pitch mean (F0)</t>
        </is>
      </c>
      <c r="E123" s="16" t="inlineStr">
        <is>
          <t>Derived</t>
        </is>
      </c>
      <c r="F123" s="16" t="inlineStr">
        <is>
          <t>Hz</t>
        </is>
      </c>
      <c r="G123" s="17" t="n">
        <v>10</v>
      </c>
      <c r="H123" s="18" t="inlineStr">
        <is>
          <t>Measured</t>
        </is>
      </c>
      <c r="I123" s="19" t="inlineStr">
        <is>
          <t>Implemented</t>
        </is>
      </c>
      <c r="J123" s="20" t="inlineStr">
        <is>
          <t>Average fundamental frequency</t>
        </is>
      </c>
      <c r="K123" s="20" t="inlineStr">
        <is>
          <t>Strong sex and individual differences — must be within-person normalised</t>
        </is>
      </c>
    </row>
    <row r="124">
      <c r="A124" s="15" t="inlineStr">
        <is>
          <t>audio.f0_range</t>
        </is>
      </c>
      <c r="B124" s="16" t="inlineStr">
        <is>
          <t>D Vocal prosody</t>
        </is>
      </c>
      <c r="C124" s="16" t="inlineStr">
        <is>
          <t>D1 Pitch</t>
        </is>
      </c>
      <c r="D124" s="16" t="inlineStr">
        <is>
          <t>Pitch range</t>
        </is>
      </c>
      <c r="E124" s="16" t="inlineStr">
        <is>
          <t>Derived</t>
        </is>
      </c>
      <c r="F124" s="16" t="inlineStr">
        <is>
          <t>Hz</t>
        </is>
      </c>
      <c r="G124" s="17" t="n">
        <v>10</v>
      </c>
      <c r="H124" s="18" t="inlineStr">
        <is>
          <t>Measured</t>
        </is>
      </c>
      <c r="I124" s="19" t="inlineStr">
        <is>
          <t>Implemented</t>
        </is>
      </c>
      <c r="J124" s="20" t="inlineStr">
        <is>
          <t>Expressive pitch span. Narrow range reads as monotone</t>
        </is>
      </c>
      <c r="K124" s="20" t="inlineStr">
        <is>
          <t>Microphone frequency response</t>
        </is>
      </c>
    </row>
    <row r="125">
      <c r="A125" s="15" t="inlineStr">
        <is>
          <t>audio.f0_slope</t>
        </is>
      </c>
      <c r="B125" s="16" t="inlineStr">
        <is>
          <t>D Vocal prosody</t>
        </is>
      </c>
      <c r="C125" s="16" t="inlineStr">
        <is>
          <t>D1 Pitch</t>
        </is>
      </c>
      <c r="D125" s="16" t="inlineStr">
        <is>
          <t>Pitch contour slope</t>
        </is>
      </c>
      <c r="E125" s="16" t="inlineStr">
        <is>
          <t>Derived</t>
        </is>
      </c>
      <c r="F125" s="16" t="inlineStr">
        <is>
          <t>Hz/s</t>
        </is>
      </c>
      <c r="G125" s="17" t="n">
        <v>10</v>
      </c>
      <c r="H125" s="18" t="inlineStr">
        <is>
          <t>Measured</t>
        </is>
      </c>
      <c r="I125" s="19" t="inlineStr">
        <is>
          <t>Implemented</t>
        </is>
      </c>
      <c r="J125" s="20" t="inlineStr">
        <is>
          <t>Rising vs. falling intonation — statement vs. uncertainty framing</t>
        </is>
      </c>
      <c r="K125" s="20" t="inlineStr">
        <is>
          <t>Language and dialect intonation patterns differ</t>
        </is>
      </c>
    </row>
    <row r="126">
      <c r="A126" s="15" t="inlineStr">
        <is>
          <t>audio.f0_declination</t>
        </is>
      </c>
      <c r="B126" s="16" t="inlineStr">
        <is>
          <t>D Vocal prosody</t>
        </is>
      </c>
      <c r="C126" s="16" t="inlineStr">
        <is>
          <t>D1 Pitch</t>
        </is>
      </c>
      <c r="D126" s="16" t="inlineStr">
        <is>
          <t>Pitch declination</t>
        </is>
      </c>
      <c r="E126" s="16" t="inlineStr">
        <is>
          <t>Derived</t>
        </is>
      </c>
      <c r="F126" s="16" t="inlineStr">
        <is>
          <t>Hz/utterance</t>
        </is>
      </c>
      <c r="G126" s="17" t="n">
        <v>10</v>
      </c>
      <c r="H126" s="18" t="inlineStr">
        <is>
          <t>Measured</t>
        </is>
      </c>
      <c r="I126" s="19" t="inlineStr">
        <is>
          <t>Implemented</t>
        </is>
      </c>
      <c r="J126" s="20" t="inlineStr">
        <is>
          <t>Pitch drop across an utterance; tracks assertiveness of delivery</t>
        </is>
      </c>
      <c r="K126" s="20" t="inlineStr">
        <is>
          <t>Requires clean utterance segmentation</t>
        </is>
      </c>
    </row>
    <row r="127">
      <c r="A127" s="15" t="inlineStr">
        <is>
          <t>audio.jitter</t>
        </is>
      </c>
      <c r="B127" s="16" t="inlineStr">
        <is>
          <t>D Vocal prosody</t>
        </is>
      </c>
      <c r="C127" s="16" t="inlineStr">
        <is>
          <t>D2 Voice quality</t>
        </is>
      </c>
      <c r="D127" s="16" t="inlineStr">
        <is>
          <t>Jitter</t>
        </is>
      </c>
      <c r="E127" s="16" t="inlineStr">
        <is>
          <t>Derived</t>
        </is>
      </c>
      <c r="F127" s="16" t="inlineStr">
        <is>
          <t>% cycle-to-cycle</t>
        </is>
      </c>
      <c r="G127" s="17" t="n">
        <v>10</v>
      </c>
      <c r="H127" s="18" t="inlineStr">
        <is>
          <t>Measured</t>
        </is>
      </c>
      <c r="I127" s="19" t="inlineStr">
        <is>
          <t>Implemented</t>
        </is>
      </c>
      <c r="J127" s="20" t="inlineStr">
        <is>
          <t>Pitch period irregularity; rises with vocal tension</t>
        </is>
      </c>
      <c r="K127" s="20" t="inlineStr">
        <is>
          <t>Codec compression destroys this — needs uncompressed or high-bitrate audio</t>
        </is>
      </c>
    </row>
    <row r="128">
      <c r="A128" s="15" t="inlineStr">
        <is>
          <t>audio.shimmer</t>
        </is>
      </c>
      <c r="B128" s="16" t="inlineStr">
        <is>
          <t>D Vocal prosody</t>
        </is>
      </c>
      <c r="C128" s="16" t="inlineStr">
        <is>
          <t>D2 Voice quality</t>
        </is>
      </c>
      <c r="D128" s="16" t="inlineStr">
        <is>
          <t>Shimmer</t>
        </is>
      </c>
      <c r="E128" s="16" t="inlineStr">
        <is>
          <t>Derived</t>
        </is>
      </c>
      <c r="F128" s="16" t="inlineStr">
        <is>
          <t>dB</t>
        </is>
      </c>
      <c r="G128" s="17" t="n">
        <v>10</v>
      </c>
      <c r="H128" s="18" t="inlineStr">
        <is>
          <t>Measured</t>
        </is>
      </c>
      <c r="I128" s="19" t="inlineStr">
        <is>
          <t>Implemented</t>
        </is>
      </c>
      <c r="J128" s="20" t="inlineStr">
        <is>
          <t>Amplitude irregularity</t>
        </is>
      </c>
      <c r="K128" s="20" t="inlineStr">
        <is>
          <t>As above</t>
        </is>
      </c>
    </row>
    <row r="129">
      <c r="A129" s="15" t="inlineStr">
        <is>
          <t>audio.hnr</t>
        </is>
      </c>
      <c r="B129" s="16" t="inlineStr">
        <is>
          <t>D Vocal prosody</t>
        </is>
      </c>
      <c r="C129" s="16" t="inlineStr">
        <is>
          <t>D2 Voice quality</t>
        </is>
      </c>
      <c r="D129" s="16" t="inlineStr">
        <is>
          <t>Harmonics-to-noise ratio</t>
        </is>
      </c>
      <c r="E129" s="16" t="inlineStr">
        <is>
          <t>Derived</t>
        </is>
      </c>
      <c r="F129" s="16" t="inlineStr">
        <is>
          <t>dB</t>
        </is>
      </c>
      <c r="G129" s="17" t="n">
        <v>10</v>
      </c>
      <c r="H129" s="18" t="inlineStr">
        <is>
          <t>Measured</t>
        </is>
      </c>
      <c r="I129" s="19" t="inlineStr">
        <is>
          <t>Implemented</t>
        </is>
      </c>
      <c r="J129" s="20" t="inlineStr">
        <is>
          <t>Voice clarity vs. breathiness</t>
        </is>
      </c>
      <c r="K129" s="20" t="inlineStr">
        <is>
          <t>Background noise directly corrupts it</t>
        </is>
      </c>
    </row>
    <row r="130">
      <c r="A130" s="15" t="inlineStr">
        <is>
          <t>audio.speech_rate</t>
        </is>
      </c>
      <c r="B130" s="16" t="inlineStr">
        <is>
          <t>D Vocal prosody</t>
        </is>
      </c>
      <c r="C130" s="16" t="inlineStr">
        <is>
          <t>D3 Tempo</t>
        </is>
      </c>
      <c r="D130" s="16" t="inlineStr">
        <is>
          <t>Speech rate</t>
        </is>
      </c>
      <c r="E130" s="16" t="inlineStr">
        <is>
          <t>Derived</t>
        </is>
      </c>
      <c r="F130" s="16" t="inlineStr">
        <is>
          <t>syllables/s incl. pauses</t>
        </is>
      </c>
      <c r="G130" s="17" t="n">
        <v>10</v>
      </c>
      <c r="H130" s="18" t="inlineStr">
        <is>
          <t>Measured</t>
        </is>
      </c>
      <c r="I130" s="19" t="inlineStr">
        <is>
          <t>Implemented</t>
        </is>
      </c>
      <c r="J130" s="20" t="inlineStr">
        <is>
          <t>Overall pace of delivery</t>
        </is>
      </c>
      <c r="K130" s="20" t="inlineStr">
        <is>
          <t>Language and register</t>
        </is>
      </c>
    </row>
    <row r="131">
      <c r="A131" s="15" t="inlineStr">
        <is>
          <t>audio.articulation_rate</t>
        </is>
      </c>
      <c r="B131" s="16" t="inlineStr">
        <is>
          <t>D Vocal prosody</t>
        </is>
      </c>
      <c r="C131" s="16" t="inlineStr">
        <is>
          <t>D3 Tempo</t>
        </is>
      </c>
      <c r="D131" s="16" t="inlineStr">
        <is>
          <t>Articulation rate</t>
        </is>
      </c>
      <c r="E131" s="16" t="inlineStr">
        <is>
          <t>Derived</t>
        </is>
      </c>
      <c r="F131" s="16" t="inlineStr">
        <is>
          <t>syllables/s excl. pauses</t>
        </is>
      </c>
      <c r="G131" s="17" t="n">
        <v>10</v>
      </c>
      <c r="H131" s="18" t="inlineStr">
        <is>
          <t>Measured</t>
        </is>
      </c>
      <c r="I131" s="19" t="inlineStr">
        <is>
          <t>Implemented</t>
        </is>
      </c>
      <c r="J131" s="20" t="inlineStr">
        <is>
          <t>Pace while actually speaking — separates fast talking from few pauses</t>
        </is>
      </c>
      <c r="K131" s="20" t="inlineStr">
        <is>
          <t>Needs reliable pause segmentation</t>
        </is>
      </c>
    </row>
    <row r="132">
      <c r="A132" s="15" t="inlineStr">
        <is>
          <t>audio.pause_count</t>
        </is>
      </c>
      <c r="B132" s="16" t="inlineStr">
        <is>
          <t>D Vocal prosody</t>
        </is>
      </c>
      <c r="C132" s="16" t="inlineStr">
        <is>
          <t>D3 Tempo</t>
        </is>
      </c>
      <c r="D132" s="16" t="inlineStr">
        <is>
          <t>Pause count</t>
        </is>
      </c>
      <c r="E132" s="16" t="inlineStr">
        <is>
          <t>Derived</t>
        </is>
      </c>
      <c r="F132" s="16" t="inlineStr">
        <is>
          <t>pauses/min</t>
        </is>
      </c>
      <c r="G132" s="17" t="n">
        <v>10</v>
      </c>
      <c r="H132" s="18" t="inlineStr">
        <is>
          <t>Measured</t>
        </is>
      </c>
      <c r="I132" s="19" t="inlineStr">
        <is>
          <t>Implemented</t>
        </is>
      </c>
      <c r="J132" s="20" t="inlineStr">
        <is>
          <t>Silences above 250 ms</t>
        </is>
      </c>
      <c r="K132" s="20" t="inlineStr">
        <is>
          <t>VAD threshold choice</t>
        </is>
      </c>
    </row>
    <row r="133">
      <c r="A133" s="15" t="inlineStr">
        <is>
          <t>audio.pause_mean_dur</t>
        </is>
      </c>
      <c r="B133" s="16" t="inlineStr">
        <is>
          <t>D Vocal prosody</t>
        </is>
      </c>
      <c r="C133" s="16" t="inlineStr">
        <is>
          <t>D3 Tempo</t>
        </is>
      </c>
      <c r="D133" s="16" t="inlineStr">
        <is>
          <t>Mean pause duration</t>
        </is>
      </c>
      <c r="E133" s="16" t="inlineStr">
        <is>
          <t>Derived</t>
        </is>
      </c>
      <c r="F133" s="16" t="inlineStr">
        <is>
          <t>seconds</t>
        </is>
      </c>
      <c r="G133" s="17" t="n">
        <v>10</v>
      </c>
      <c r="H133" s="18" t="inlineStr">
        <is>
          <t>Measured</t>
        </is>
      </c>
      <c r="I133" s="19" t="inlineStr">
        <is>
          <t>Implemented</t>
        </is>
      </c>
      <c r="J133" s="20" t="inlineStr">
        <is>
          <t>Length of silences; long ones read as thinking or stalling</t>
        </is>
      </c>
      <c r="K133" s="20" t="inlineStr">
        <is>
          <t>Network jitter creates artificial pauses</t>
        </is>
      </c>
    </row>
    <row r="134">
      <c r="A134" s="15" t="inlineStr">
        <is>
          <t>audio.filled_pause_rate</t>
        </is>
      </c>
      <c r="B134" s="16" t="inlineStr">
        <is>
          <t>D Vocal prosody</t>
        </is>
      </c>
      <c r="C134" s="16" t="inlineStr">
        <is>
          <t>D4 Disfluency</t>
        </is>
      </c>
      <c r="D134" s="16" t="inlineStr">
        <is>
          <t>Filled pauses</t>
        </is>
      </c>
      <c r="E134" s="16" t="inlineStr">
        <is>
          <t>Derived</t>
        </is>
      </c>
      <c r="F134" s="16" t="inlineStr">
        <is>
          <t>per 100 words</t>
        </is>
      </c>
      <c r="G134" s="17" t="n">
        <v>10</v>
      </c>
      <c r="H134" s="18" t="inlineStr">
        <is>
          <t>Measured</t>
        </is>
      </c>
      <c r="I134" s="22" t="inlineStr">
        <is>
          <t>Phase 1</t>
        </is>
      </c>
      <c r="J134" s="20" t="inlineStr">
        <is>
          <t>um, uh, er — the most coachable delivery feature there is</t>
        </is>
      </c>
      <c r="K134" s="20" t="inlineStr">
        <is>
          <t>Base rate varies by language and by nervousness, not by ability</t>
        </is>
      </c>
    </row>
    <row r="135">
      <c r="A135" s="15" t="inlineStr">
        <is>
          <t>audio.repair_rate</t>
        </is>
      </c>
      <c r="B135" s="16" t="inlineStr">
        <is>
          <t>D Vocal prosody</t>
        </is>
      </c>
      <c r="C135" s="16" t="inlineStr">
        <is>
          <t>D4 Disfluency</t>
        </is>
      </c>
      <c r="D135" s="16" t="inlineStr">
        <is>
          <t>Self-repairs</t>
        </is>
      </c>
      <c r="E135" s="16" t="inlineStr">
        <is>
          <t>Derived</t>
        </is>
      </c>
      <c r="F135" s="16" t="inlineStr">
        <is>
          <t>per 100 words</t>
        </is>
      </c>
      <c r="G135" s="17" t="n">
        <v>10</v>
      </c>
      <c r="H135" s="18" t="inlineStr">
        <is>
          <t>Measured</t>
        </is>
      </c>
      <c r="I135" s="22" t="inlineStr">
        <is>
          <t>Phase 1</t>
        </is>
      </c>
      <c r="J135" s="20" t="inlineStr">
        <is>
          <t>Restarts and corrections mid-utterance</t>
        </is>
      </c>
      <c r="K135" s="20" t="inlineStr">
        <is>
          <t>Non-native speaker penalty risk</t>
        </is>
      </c>
    </row>
    <row r="136">
      <c r="A136" s="15" t="inlineStr">
        <is>
          <t>audio.response_latency</t>
        </is>
      </c>
      <c r="B136" s="16" t="inlineStr">
        <is>
          <t>D Vocal prosody</t>
        </is>
      </c>
      <c r="C136" s="16" t="inlineStr">
        <is>
          <t>D5 Interaction</t>
        </is>
      </c>
      <c r="D136" s="16" t="inlineStr">
        <is>
          <t>Response latency</t>
        </is>
      </c>
      <c r="E136" s="16" t="inlineStr">
        <is>
          <t>Derived</t>
        </is>
      </c>
      <c r="F136" s="16" t="inlineStr">
        <is>
          <t>seconds</t>
        </is>
      </c>
      <c r="G136" s="17" t="n">
        <v>10</v>
      </c>
      <c r="H136" s="18" t="inlineStr">
        <is>
          <t>Measured</t>
        </is>
      </c>
      <c r="I136" s="19" t="inlineStr">
        <is>
          <t>Implemented</t>
        </is>
      </c>
      <c r="J136" s="20" t="inlineStr">
        <is>
          <t>Delay between question end and answer start</t>
        </is>
      </c>
      <c r="K136" s="20" t="inlineStr">
        <is>
          <t>Network round-trip time is indistinguishable from thinking time</t>
        </is>
      </c>
    </row>
    <row r="137">
      <c r="A137" s="15" t="inlineStr">
        <is>
          <t>audio.turn_length_mean</t>
        </is>
      </c>
      <c r="B137" s="16" t="inlineStr">
        <is>
          <t>D Vocal prosody</t>
        </is>
      </c>
      <c r="C137" s="16" t="inlineStr">
        <is>
          <t>D5 Interaction</t>
        </is>
      </c>
      <c r="D137" s="16" t="inlineStr">
        <is>
          <t>Mean turn length</t>
        </is>
      </c>
      <c r="E137" s="16" t="inlineStr">
        <is>
          <t>Derived</t>
        </is>
      </c>
      <c r="F137" s="16" t="inlineStr">
        <is>
          <t>seconds</t>
        </is>
      </c>
      <c r="G137" s="17" t="n">
        <v>10</v>
      </c>
      <c r="H137" s="18" t="inlineStr">
        <is>
          <t>Measured</t>
        </is>
      </c>
      <c r="I137" s="19" t="inlineStr">
        <is>
          <t>Implemented</t>
        </is>
      </c>
      <c r="J137" s="20" t="inlineStr">
        <is>
          <t>How long the subject holds the floor</t>
        </is>
      </c>
      <c r="K137" s="20" t="inlineStr">
        <is>
          <t>Question type drives this</t>
        </is>
      </c>
    </row>
    <row r="138">
      <c r="A138" s="15" t="inlineStr">
        <is>
          <t>audio.talk_time_ratio</t>
        </is>
      </c>
      <c r="B138" s="16" t="inlineStr">
        <is>
          <t>D Vocal prosody</t>
        </is>
      </c>
      <c r="C138" s="16" t="inlineStr">
        <is>
          <t>D5 Interaction</t>
        </is>
      </c>
      <c r="D138" s="16" t="inlineStr">
        <is>
          <t>Talk-time ratio</t>
        </is>
      </c>
      <c r="E138" s="16" t="inlineStr">
        <is>
          <t>Derived</t>
        </is>
      </c>
      <c r="F138" s="16" t="inlineStr">
        <is>
          <t>0.0-1.0</t>
        </is>
      </c>
      <c r="G138" s="17" t="n">
        <v>10</v>
      </c>
      <c r="H138" s="18" t="inlineStr">
        <is>
          <t>Measured</t>
        </is>
      </c>
      <c r="I138" s="19" t="inlineStr">
        <is>
          <t>Implemented</t>
        </is>
      </c>
      <c r="J138" s="20" t="inlineStr">
        <is>
          <t>Candidate speech time / total. The key interview-QA metric: an interviewer above 0.4 is not interviewing</t>
        </is>
      </c>
      <c r="K138" s="20" t="inlineStr">
        <is>
          <t>Needs speaker diarisation</t>
        </is>
      </c>
    </row>
    <row r="139">
      <c r="A139" s="15" t="inlineStr">
        <is>
          <t>audio.interruption_count</t>
        </is>
      </c>
      <c r="B139" s="16" t="inlineStr">
        <is>
          <t>D Vocal prosody</t>
        </is>
      </c>
      <c r="C139" s="16" t="inlineStr">
        <is>
          <t>D5 Interaction</t>
        </is>
      </c>
      <c r="D139" s="16" t="inlineStr">
        <is>
          <t>Interruptions</t>
        </is>
      </c>
      <c r="E139" s="16" t="inlineStr">
        <is>
          <t>Derived</t>
        </is>
      </c>
      <c r="F139" s="16" t="inlineStr">
        <is>
          <t>count</t>
        </is>
      </c>
      <c r="G139" s="17" t="n">
        <v>10</v>
      </c>
      <c r="H139" s="18" t="inlineStr">
        <is>
          <t>Measured</t>
        </is>
      </c>
      <c r="I139" s="19" t="inlineStr">
        <is>
          <t>Implemented</t>
        </is>
      </c>
      <c r="J139" s="20" t="inlineStr">
        <is>
          <t>Overlapping speech onsets. Best used on the INTERVIEWER, as bias telemetry</t>
        </is>
      </c>
      <c r="K139" s="20" t="inlineStr">
        <is>
          <t>Network latency causes accidental overlap</t>
        </is>
      </c>
    </row>
    <row r="140">
      <c r="A140" s="15" t="inlineStr">
        <is>
          <t>audio.rms_energy</t>
        </is>
      </c>
      <c r="B140" s="16" t="inlineStr">
        <is>
          <t>D Vocal prosody</t>
        </is>
      </c>
      <c r="C140" s="16" t="inlineStr">
        <is>
          <t>D6 Energy</t>
        </is>
      </c>
      <c r="D140" s="16" t="inlineStr">
        <is>
          <t>Loudness</t>
        </is>
      </c>
      <c r="E140" s="16" t="inlineStr">
        <is>
          <t>Derived</t>
        </is>
      </c>
      <c r="F140" s="16" t="inlineStr">
        <is>
          <t>dB RMS</t>
        </is>
      </c>
      <c r="G140" s="17" t="n">
        <v>10</v>
      </c>
      <c r="H140" s="18" t="inlineStr">
        <is>
          <t>Measured</t>
        </is>
      </c>
      <c r="I140" s="19" t="inlineStr">
        <is>
          <t>Implemented</t>
        </is>
      </c>
      <c r="J140" s="20" t="inlineStr">
        <is>
          <t>Vocal energy level</t>
        </is>
      </c>
      <c r="K140" s="20" t="inlineStr">
        <is>
          <t>Microphone gain and distance — normalise per session</t>
        </is>
      </c>
    </row>
    <row r="141">
      <c r="A141" s="15" t="inlineStr">
        <is>
          <t>audio.energy_variability</t>
        </is>
      </c>
      <c r="B141" s="16" t="inlineStr">
        <is>
          <t>D Vocal prosody</t>
        </is>
      </c>
      <c r="C141" s="16" t="inlineStr">
        <is>
          <t>D6 Energy</t>
        </is>
      </c>
      <c r="D141" s="16" t="inlineStr">
        <is>
          <t>Loudness variability</t>
        </is>
      </c>
      <c r="E141" s="16" t="inlineStr">
        <is>
          <t>Derived</t>
        </is>
      </c>
      <c r="F141" s="16" t="inlineStr">
        <is>
          <t>dB SD</t>
        </is>
      </c>
      <c r="G141" s="17" t="n">
        <v>10</v>
      </c>
      <c r="H141" s="18" t="inlineStr">
        <is>
          <t>Measured</t>
        </is>
      </c>
      <c r="I141" s="19" t="inlineStr">
        <is>
          <t>Implemented</t>
        </is>
      </c>
      <c r="J141" s="20" t="inlineStr">
        <is>
          <t>Dynamic range of delivery; flat values read as monotone</t>
        </is>
      </c>
      <c r="K141" s="20" t="inlineStr">
        <is>
          <t>Automatic gain control flattens this at source</t>
        </is>
      </c>
    </row>
    <row r="142">
      <c r="A142" s="15" t="inlineStr">
        <is>
          <t>text.star_completeness</t>
        </is>
      </c>
      <c r="B142" s="16" t="inlineStr">
        <is>
          <t>E Linguistic content</t>
        </is>
      </c>
      <c r="C142" s="16" t="inlineStr">
        <is>
          <t>E1 Answer structure</t>
        </is>
      </c>
      <c r="D142" s="16" t="inlineStr">
        <is>
          <t>STAR completeness</t>
        </is>
      </c>
      <c r="E142" s="16" t="inlineStr">
        <is>
          <t>Derived</t>
        </is>
      </c>
      <c r="F142" s="16" t="inlineStr">
        <is>
          <t>0-4 components present</t>
        </is>
      </c>
      <c r="G142" s="17" t="n">
        <v>0</v>
      </c>
      <c r="H142" s="18" t="inlineStr">
        <is>
          <t>Measured</t>
        </is>
      </c>
      <c r="I142" s="19" t="inlineStr">
        <is>
          <t>Implemented</t>
        </is>
      </c>
      <c r="J142" s="20" t="inlineStr">
        <is>
          <t>Situation / Task / Action / Result structure in a behavioural answer</t>
        </is>
      </c>
      <c r="K142" s="20" t="inlineStr">
        <is>
          <t>This is where the real predictive signal lives</t>
        </is>
      </c>
    </row>
    <row r="143">
      <c r="A143" s="15" t="inlineStr">
        <is>
          <t>text.specificity_score</t>
        </is>
      </c>
      <c r="B143" s="16" t="inlineStr">
        <is>
          <t>E Linguistic content</t>
        </is>
      </c>
      <c r="C143" s="16" t="inlineStr">
        <is>
          <t>E1 Answer structure</t>
        </is>
      </c>
      <c r="D143" s="16" t="inlineStr">
        <is>
          <t>Specificity</t>
        </is>
      </c>
      <c r="E143" s="16" t="inlineStr">
        <is>
          <t>Derived</t>
        </is>
      </c>
      <c r="F143" s="16" t="inlineStr">
        <is>
          <t>0.0-1.0</t>
        </is>
      </c>
      <c r="G143" s="17" t="n">
        <v>0</v>
      </c>
      <c r="H143" s="18" t="inlineStr">
        <is>
          <t>Measured</t>
        </is>
      </c>
      <c r="I143" s="19" t="inlineStr">
        <is>
          <t>Implemented</t>
        </is>
      </c>
      <c r="J143" s="20" t="inlineStr">
        <is>
          <t>Concrete detail density — names, numbers, dates, tools — vs. generalities</t>
        </is>
      </c>
      <c r="K143" s="20" t="inlineStr">
        <is>
          <t>Confidentiality constraints legitimately reduce specificity</t>
        </is>
      </c>
    </row>
    <row r="144">
      <c r="A144" s="15" t="inlineStr">
        <is>
          <t>text.quantification_rate</t>
        </is>
      </c>
      <c r="B144" s="16" t="inlineStr">
        <is>
          <t>E Linguistic content</t>
        </is>
      </c>
      <c r="C144" s="16" t="inlineStr">
        <is>
          <t>E1 Answer structure</t>
        </is>
      </c>
      <c r="D144" s="16" t="inlineStr">
        <is>
          <t>Quantification</t>
        </is>
      </c>
      <c r="E144" s="16" t="inlineStr">
        <is>
          <t>Derived</t>
        </is>
      </c>
      <c r="F144" s="16" t="inlineStr">
        <is>
          <t>quantified claims / claims</t>
        </is>
      </c>
      <c r="G144" s="17" t="n">
        <v>0</v>
      </c>
      <c r="H144" s="18" t="inlineStr">
        <is>
          <t>Measured</t>
        </is>
      </c>
      <c r="I144" s="19" t="inlineStr">
        <is>
          <t>Implemented</t>
        </is>
      </c>
      <c r="J144" s="20" t="inlineStr">
        <is>
          <t>Proportion of claims backed by a number</t>
        </is>
      </c>
      <c r="K144" s="20" t="inlineStr">
        <is>
          <t>Role-dependent</t>
        </is>
      </c>
    </row>
    <row r="145">
      <c r="A145" s="15" t="inlineStr">
        <is>
          <t>text.competency_coverage</t>
        </is>
      </c>
      <c r="B145" s="16" t="inlineStr">
        <is>
          <t>E Linguistic content</t>
        </is>
      </c>
      <c r="C145" s="16" t="inlineStr">
        <is>
          <t>E1 Answer structure</t>
        </is>
      </c>
      <c r="D145" s="16" t="inlineStr">
        <is>
          <t>Competency coverage</t>
        </is>
      </c>
      <c r="E145" s="16" t="inlineStr">
        <is>
          <t>Derived</t>
        </is>
      </c>
      <c r="F145" s="16" t="inlineStr">
        <is>
          <t>0.0-1.0 vs. rubric</t>
        </is>
      </c>
      <c r="G145" s="17" t="n">
        <v>0</v>
      </c>
      <c r="H145" s="18" t="inlineStr">
        <is>
          <t>Measured</t>
        </is>
      </c>
      <c r="I145" s="19" t="inlineStr">
        <is>
          <t>Implemented</t>
        </is>
      </c>
      <c r="J145" s="20" t="inlineStr">
        <is>
          <t>Overlap between the answer and the competency's rubric language</t>
        </is>
      </c>
      <c r="K145" s="20" t="inlineStr">
        <is>
          <t>Rewards rehearsed keyword use; needs semantic not lexical matching</t>
        </is>
      </c>
    </row>
    <row r="146">
      <c r="A146" s="15" t="inlineStr">
        <is>
          <t>text.pronoun_i_we_ratio</t>
        </is>
      </c>
      <c r="B146" s="16" t="inlineStr">
        <is>
          <t>E Linguistic content</t>
        </is>
      </c>
      <c r="C146" s="16" t="inlineStr">
        <is>
          <t>E1 Answer structure</t>
        </is>
      </c>
      <c r="D146" s="16" t="inlineStr">
        <is>
          <t>I / we ratio</t>
        </is>
      </c>
      <c r="E146" s="16" t="inlineStr">
        <is>
          <t>Derived</t>
        </is>
      </c>
      <c r="F146" s="16" t="inlineStr">
        <is>
          <t>ratio</t>
        </is>
      </c>
      <c r="G146" s="17" t="n">
        <v>0</v>
      </c>
      <c r="H146" s="18" t="inlineStr">
        <is>
          <t>Measured</t>
        </is>
      </c>
      <c r="I146" s="19" t="inlineStr">
        <is>
          <t>Implemented</t>
        </is>
      </c>
      <c r="J146" s="20" t="inlineStr">
        <is>
          <t>Individual vs. collective framing of contribution</t>
        </is>
      </c>
      <c r="K146" s="20" t="inlineStr">
        <is>
          <t>Culturally loaded — collectivist framing is not lower ownership</t>
        </is>
      </c>
    </row>
    <row r="147">
      <c r="A147" s="15" t="inlineStr">
        <is>
          <t>text.hedging_density</t>
        </is>
      </c>
      <c r="B147" s="16" t="inlineStr">
        <is>
          <t>E Linguistic content</t>
        </is>
      </c>
      <c r="C147" s="16" t="inlineStr">
        <is>
          <t>E1 Answer structure</t>
        </is>
      </c>
      <c r="D147" s="16" t="inlineStr">
        <is>
          <t>Hedging density</t>
        </is>
      </c>
      <c r="E147" s="16" t="inlineStr">
        <is>
          <t>Derived</t>
        </is>
      </c>
      <c r="F147" s="16" t="inlineStr">
        <is>
          <t>hedges / 100 words</t>
        </is>
      </c>
      <c r="G147" s="17" t="n">
        <v>0</v>
      </c>
      <c r="H147" s="18" t="inlineStr">
        <is>
          <t>Measured</t>
        </is>
      </c>
      <c r="I147" s="19" t="inlineStr">
        <is>
          <t>Implemented</t>
        </is>
      </c>
      <c r="J147" s="20" t="inlineStr">
        <is>
          <t>maybe, sort of, I think — tentativeness of assertion</t>
        </is>
      </c>
      <c r="K147" s="20" t="inlineStr">
        <is>
          <t>Politeness register, and appropriate epistemic caution, both raise it</t>
        </is>
      </c>
    </row>
    <row r="148">
      <c r="A148" s="15" t="inlineStr">
        <is>
          <t>text.answer_relevance</t>
        </is>
      </c>
      <c r="B148" s="16" t="inlineStr">
        <is>
          <t>E Linguistic content</t>
        </is>
      </c>
      <c r="C148" s="16" t="inlineStr">
        <is>
          <t>E1 Answer structure</t>
        </is>
      </c>
      <c r="D148" s="16" t="inlineStr">
        <is>
          <t>Answer relevance</t>
        </is>
      </c>
      <c r="E148" s="16" t="inlineStr">
        <is>
          <t>Derived</t>
        </is>
      </c>
      <c r="F148" s="16" t="inlineStr">
        <is>
          <t>0.0-1.0</t>
        </is>
      </c>
      <c r="G148" s="17" t="n">
        <v>0</v>
      </c>
      <c r="H148" s="18" t="inlineStr">
        <is>
          <t>Measured</t>
        </is>
      </c>
      <c r="I148" s="19" t="inlineStr">
        <is>
          <t>Implemented</t>
        </is>
      </c>
      <c r="J148" s="20" t="inlineStr">
        <is>
          <t>Semantic match between the answer and the question asked</t>
        </is>
      </c>
      <c r="K148" s="20" t="inlineStr">
        <is>
          <t>Requires a good embedding model and a defined question set</t>
        </is>
      </c>
    </row>
    <row r="149">
      <c r="A149" s="15" t="inlineStr">
        <is>
          <t>quality.face_detected</t>
        </is>
      </c>
      <c r="B149" s="16" t="inlineStr">
        <is>
          <t>F Session integrity</t>
        </is>
      </c>
      <c r="C149" s="16" t="inlineStr">
        <is>
          <t>F1 Capture quality</t>
        </is>
      </c>
      <c r="D149" s="16" t="inlineStr">
        <is>
          <t>Face detected</t>
        </is>
      </c>
      <c r="E149" s="16" t="inlineStr">
        <is>
          <t>Raw</t>
        </is>
      </c>
      <c r="F149" s="16" t="inlineStr">
        <is>
          <t>0 or 1</t>
        </is>
      </c>
      <c r="G149" s="17" t="n">
        <v>30</v>
      </c>
      <c r="H149" s="18" t="inlineStr">
        <is>
          <t>Measured</t>
        </is>
      </c>
      <c r="I149" s="19" t="inlineStr">
        <is>
          <t>Implemented</t>
        </is>
      </c>
      <c r="J149" s="20" t="inlineStr">
        <is>
          <t>Whether a face was found in this frame</t>
        </is>
      </c>
      <c r="K149" s="20" t="inlineStr">
        <is>
          <t>Gates every Group A and C value</t>
        </is>
      </c>
    </row>
    <row r="150">
      <c r="A150" s="15" t="inlineStr">
        <is>
          <t>quality.face_visibility_ratio</t>
        </is>
      </c>
      <c r="B150" s="16" t="inlineStr">
        <is>
          <t>F Session integrity</t>
        </is>
      </c>
      <c r="C150" s="16" t="inlineStr">
        <is>
          <t>F1 Capture quality</t>
        </is>
      </c>
      <c r="D150" s="16" t="inlineStr">
        <is>
          <t>Face visibility</t>
        </is>
      </c>
      <c r="E150" s="16" t="inlineStr">
        <is>
          <t>Raw</t>
        </is>
      </c>
      <c r="F150" s="16" t="inlineStr">
        <is>
          <t>0.0-1.0 over window</t>
        </is>
      </c>
      <c r="G150" s="17" t="n">
        <v>1</v>
      </c>
      <c r="H150" s="18" t="inlineStr">
        <is>
          <t>Measured</t>
        </is>
      </c>
      <c r="I150" s="19" t="inlineStr">
        <is>
          <t>Implemented</t>
        </is>
      </c>
      <c r="J150" s="20" t="inlineStr">
        <is>
          <t>Fraction of frames with a face. Below 0.6 the session is not analysable</t>
        </is>
      </c>
      <c r="K150" s="20" t="inlineStr">
        <is>
          <t>The primary go/no-go gate</t>
        </is>
      </c>
    </row>
    <row r="151">
      <c r="A151" s="15" t="inlineStr">
        <is>
          <t>quality.illumination_mean</t>
        </is>
      </c>
      <c r="B151" s="16" t="inlineStr">
        <is>
          <t>F Session integrity</t>
        </is>
      </c>
      <c r="C151" s="16" t="inlineStr">
        <is>
          <t>F1 Capture quality</t>
        </is>
      </c>
      <c r="D151" s="16" t="inlineStr">
        <is>
          <t>Illumination level</t>
        </is>
      </c>
      <c r="E151" s="16" t="inlineStr">
        <is>
          <t>Raw</t>
        </is>
      </c>
      <c r="F151" s="16" t="inlineStr">
        <is>
          <t>0-255</t>
        </is>
      </c>
      <c r="G151" s="17" t="n">
        <v>1</v>
      </c>
      <c r="H151" s="18" t="inlineStr">
        <is>
          <t>Measured</t>
        </is>
      </c>
      <c r="I151" s="19" t="inlineStr">
        <is>
          <t>Implemented</t>
        </is>
      </c>
      <c r="J151" s="20" t="inlineStr">
        <is>
          <t>Mean luminance over the face region</t>
        </is>
      </c>
      <c r="K151" s="20" t="inlineStr">
        <is>
          <t>Backlighting is the common failure</t>
        </is>
      </c>
    </row>
    <row r="152">
      <c r="A152" s="15" t="inlineStr">
        <is>
          <t>quality.illumination_stability</t>
        </is>
      </c>
      <c r="B152" s="16" t="inlineStr">
        <is>
          <t>F Session integrity</t>
        </is>
      </c>
      <c r="C152" s="16" t="inlineStr">
        <is>
          <t>F1 Capture quality</t>
        </is>
      </c>
      <c r="D152" s="16" t="inlineStr">
        <is>
          <t>Illumination stability</t>
        </is>
      </c>
      <c r="E152" s="16" t="inlineStr">
        <is>
          <t>Raw</t>
        </is>
      </c>
      <c r="F152" s="16" t="inlineStr">
        <is>
          <t>SD over 10 s</t>
        </is>
      </c>
      <c r="G152" s="17" t="n">
        <v>1</v>
      </c>
      <c r="H152" s="18" t="inlineStr">
        <is>
          <t>Measured</t>
        </is>
      </c>
      <c r="I152" s="19" t="inlineStr">
        <is>
          <t>Implemented</t>
        </is>
      </c>
      <c r="J152" s="20" t="inlineStr">
        <is>
          <t>Lighting flicker. Instability corrupts rPPG directly</t>
        </is>
      </c>
      <c r="K152" s="20" t="inlineStr">
        <is>
          <t>Screen glow changes colour as the interviewer's video changes</t>
        </is>
      </c>
    </row>
    <row r="153">
      <c r="A153" s="15" t="inlineStr">
        <is>
          <t>quality.frame_drop_rate</t>
        </is>
      </c>
      <c r="B153" s="16" t="inlineStr">
        <is>
          <t>F Session integrity</t>
        </is>
      </c>
      <c r="C153" s="16" t="inlineStr">
        <is>
          <t>F1 Capture quality</t>
        </is>
      </c>
      <c r="D153" s="16" t="inlineStr">
        <is>
          <t>Frame drop rate</t>
        </is>
      </c>
      <c r="E153" s="16" t="inlineStr">
        <is>
          <t>Raw</t>
        </is>
      </c>
      <c r="F153" s="16" t="inlineStr">
        <is>
          <t>dropped/s</t>
        </is>
      </c>
      <c r="G153" s="17" t="n">
        <v>1</v>
      </c>
      <c r="H153" s="18" t="inlineStr">
        <is>
          <t>Measured</t>
        </is>
      </c>
      <c r="I153" s="19" t="inlineStr">
        <is>
          <t>Implemented</t>
        </is>
      </c>
      <c r="J153" s="20" t="inlineStr">
        <is>
          <t>Capture gaps. Above ~10% the rPPG window is no longer uniformly sampled</t>
        </is>
      </c>
      <c r="K153" s="20" t="inlineStr">
        <is>
          <t>CPU contention and network</t>
        </is>
      </c>
    </row>
    <row r="154">
      <c r="A154" s="15" t="inlineStr">
        <is>
          <t>quality.resolution</t>
        </is>
      </c>
      <c r="B154" s="16" t="inlineStr">
        <is>
          <t>F Session integrity</t>
        </is>
      </c>
      <c r="C154" s="16" t="inlineStr">
        <is>
          <t>F1 Capture quality</t>
        </is>
      </c>
      <c r="D154" s="16" t="inlineStr">
        <is>
          <t>Capture resolution</t>
        </is>
      </c>
      <c r="E154" s="16" t="inlineStr">
        <is>
          <t>Raw</t>
        </is>
      </c>
      <c r="F154" s="16" t="inlineStr">
        <is>
          <t>pixels</t>
        </is>
      </c>
      <c r="G154" s="17" t="n">
        <v>0</v>
      </c>
      <c r="H154" s="18" t="inlineStr">
        <is>
          <t>Measured</t>
        </is>
      </c>
      <c r="I154" s="19" t="inlineStr">
        <is>
          <t>Implemented</t>
        </is>
      </c>
      <c r="J154" s="20" t="inlineStr">
        <is>
          <t>Face bounding-box size in pixels; small faces degrade AU detection</t>
        </is>
      </c>
      <c r="K154" s="20" t="inlineStr">
        <is>
          <t>Sitting distance</t>
        </is>
      </c>
    </row>
    <row r="155">
      <c r="A155" s="15" t="inlineStr">
        <is>
          <t>quality.audio_snr</t>
        </is>
      </c>
      <c r="B155" s="16" t="inlineStr">
        <is>
          <t>F Session integrity</t>
        </is>
      </c>
      <c r="C155" s="16" t="inlineStr">
        <is>
          <t>F1 Capture quality</t>
        </is>
      </c>
      <c r="D155" s="16" t="inlineStr">
        <is>
          <t>Audio SNR</t>
        </is>
      </c>
      <c r="E155" s="16" t="inlineStr">
        <is>
          <t>Raw</t>
        </is>
      </c>
      <c r="F155" s="16" t="inlineStr">
        <is>
          <t>dB</t>
        </is>
      </c>
      <c r="G155" s="17" t="n">
        <v>1</v>
      </c>
      <c r="H155" s="18" t="inlineStr">
        <is>
          <t>Measured</t>
        </is>
      </c>
      <c r="I155" s="19" t="inlineStr">
        <is>
          <t>Implemented</t>
        </is>
      </c>
      <c r="J155" s="20" t="inlineStr">
        <is>
          <t>Speech-to-background ratio. Below ~15 dB, voice-quality features are noise</t>
        </is>
      </c>
      <c r="K155" s="20" t="inlineStr">
        <is>
          <t>Open-plan rooms, fans, traffic</t>
        </is>
      </c>
    </row>
    <row r="156">
      <c r="A156" s="15" t="inlineStr">
        <is>
          <t>quality.network_jitter</t>
        </is>
      </c>
      <c r="B156" s="16" t="inlineStr">
        <is>
          <t>F Session integrity</t>
        </is>
      </c>
      <c r="C156" s="16" t="inlineStr">
        <is>
          <t>F1 Capture quality</t>
        </is>
      </c>
      <c r="D156" s="16" t="inlineStr">
        <is>
          <t>Network jitter</t>
        </is>
      </c>
      <c r="E156" s="16" t="inlineStr">
        <is>
          <t>Raw</t>
        </is>
      </c>
      <c r="F156" s="16" t="inlineStr">
        <is>
          <t>ms</t>
        </is>
      </c>
      <c r="G156" s="17" t="n">
        <v>1</v>
      </c>
      <c r="H156" s="18" t="inlineStr">
        <is>
          <t>Measured</t>
        </is>
      </c>
      <c r="I156" s="19" t="inlineStr">
        <is>
          <t>Implemented</t>
        </is>
      </c>
      <c r="J156" s="20" t="inlineStr">
        <is>
          <t>Needed to separate real response latency from transport delay</t>
        </is>
      </c>
      <c r="K156" s="20" t="inlineStr">
        <is>
          <t>Must be logged or latency features are meaningless</t>
        </is>
      </c>
    </row>
    <row r="157">
      <c r="A157" s="15" t="inlineStr">
        <is>
          <t>quality.frame_drop_fraction</t>
        </is>
      </c>
      <c r="B157" s="16" t="inlineStr">
        <is>
          <t>F Session integrity</t>
        </is>
      </c>
      <c r="C157" s="16" t="inlineStr">
        <is>
          <t>F1 Capture quality</t>
        </is>
      </c>
      <c r="D157" s="16" t="inlineStr">
        <is>
          <t>Frame drop fraction</t>
        </is>
      </c>
      <c r="E157" s="16" t="inlineStr">
        <is>
          <t>Raw</t>
        </is>
      </c>
      <c r="F157" s="16" t="inlineStr">
        <is>
          <t>0.0-1.0</t>
        </is>
      </c>
      <c r="G157" s="17" t="n">
        <v>1</v>
      </c>
      <c r="H157" s="18" t="inlineStr">
        <is>
          <t>Measured</t>
        </is>
      </c>
      <c r="I157" s="19" t="inlineStr">
        <is>
          <t>Implemented</t>
        </is>
      </c>
      <c r="J157" s="20" t="inlineStr">
        <is>
          <t>Dropped frames as a share of those expected; the scale-free form of frame_drop_rate</t>
        </is>
      </c>
      <c r="K157" s="20" t="inlineStr">
        <is>
          <t>CPU contention and network</t>
        </is>
      </c>
    </row>
    <row r="158">
      <c r="A158" s="15" t="inlineStr">
        <is>
          <t>quality.face_bbox_px</t>
        </is>
      </c>
      <c r="B158" s="16" t="inlineStr">
        <is>
          <t>F Session integrity</t>
        </is>
      </c>
      <c r="C158" s="16" t="inlineStr">
        <is>
          <t>F1 Capture quality</t>
        </is>
      </c>
      <c r="D158" s="16" t="inlineStr">
        <is>
          <t>Face bounding box</t>
        </is>
      </c>
      <c r="E158" s="16" t="inlineStr">
        <is>
          <t>Raw</t>
        </is>
      </c>
      <c r="F158" s="16" t="inlineStr">
        <is>
          <t>pixels [w, h]</t>
        </is>
      </c>
      <c r="G158" s="17" t="n">
        <v>1</v>
      </c>
      <c r="H158" s="18" t="inlineStr">
        <is>
          <t>Measured</t>
        </is>
      </c>
      <c r="I158" s="19" t="inlineStr">
        <is>
          <t>Implemented</t>
        </is>
      </c>
      <c r="J158" s="20" t="inlineStr">
        <is>
          <t>Face box dimensions; resolution is its smaller side</t>
        </is>
      </c>
      <c r="K158" s="20" t="inlineStr">
        <is>
          <t>Sitting distance and camera field of view</t>
        </is>
      </c>
    </row>
  </sheetData>
  <autoFilter ref="A1:K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2026-09-01T07:08:54Z</dcterms:created>
  <dcterms:modified xsi:type="dcterms:W3CDTF">2026-09-01T07:08:54Z</dcterms:modified>
</cp:coreProperties>
</file>