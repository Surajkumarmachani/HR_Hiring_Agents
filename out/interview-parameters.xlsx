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mmary" sheetId="2" state="visible" r:id="rId4"/>
    <sheet name="Parameters" sheetId="3" state="visible" r:id="rId5"/>
  </sheets>
  <definedNames>
    <definedName function="false" hidden="true" localSheetId="2" name="_xlnm._FilterDatabase" vbProcedure="false">Parameters!$A$1:$K$156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<sst xmlns="http://schemas.openxmlformats.org/spreadsheetml/2006/main" count="1606" uniqueCount="640">
  <si>
    <t xml:space="preserve">Interview Signal Layer — Parameter Dictionary</t>
  </si>
  <si>
    <t xml:space="preserve">Generated 31 Aug 2026 from the pipeline source. Rev 1.0</t>
  </si>
  <si>
    <t xml:space="preserve">HOW TO READ THIS</t>
  </si>
  <si>
    <t xml:space="preserve">Every row is one number the pipeline emits. Two columns decide whether you may act on it:</t>
  </si>
  <si>
    <t xml:space="preserve">validity_tier — what the evidence supports</t>
  </si>
  <si>
    <t xml:space="preserve">  Measured        A real physical quantity. Trust it within its stated error and confounds.</t>
  </si>
  <si>
    <t xml:space="preserve">  Weak inference  Computable, but the mapping to any psychological state is contested. Display with error bars; never feed a decision.</t>
  </si>
  <si>
    <t xml:space="preserve">  Do not ship     Listed so nobody re-adds it later. The measurement cannot be made validly in this setting.</t>
  </si>
  <si>
    <t xml:space="preserve">status — where it is in the build</t>
  </si>
  <si>
    <t xml:space="preserve">  Implemented  Emitted today by the prototype in interview-signals.zip</t>
  </si>
  <si>
    <t xml:space="preserve">  Phase 1/2    Specified, not yet built. See the build sequence in the spec.</t>
  </si>
  <si>
    <t xml:space="preserve">  Excluded     Deliberately not built.</t>
  </si>
  <si>
    <t xml:space="preserve">principal_confound is the column to read before anyone quotes a number in a meeting. Most of these features are as sensitive to camera placement, chair design and network quality as they are to the person.</t>
  </si>
  <si>
    <t xml:space="preserve">NOT IN THIS LIST, ON PURPOSE</t>
  </si>
  <si>
    <t xml:space="preserve">Thought content, honesty/deception, personality traits, and any hireability score. None can be validly derived from these signals.</t>
  </si>
  <si>
    <t xml:space="preserve">Parameter counts</t>
  </si>
  <si>
    <t xml:space="preserve">Live formulas over the Parameters sheet — they update if you add or edit rows there.</t>
  </si>
  <si>
    <t xml:space="preserve">By signal group</t>
  </si>
  <si>
    <t xml:space="preserve">Group</t>
  </si>
  <si>
    <t xml:space="preserve">Count</t>
  </si>
  <si>
    <t xml:space="preserve">Share</t>
  </si>
  <si>
    <t xml:space="preserve">A Facial action units</t>
  </si>
  <si>
    <t xml:space="preserve">B Upper-body kinesics</t>
  </si>
  <si>
    <t xml:space="preserve">C Physiological (rPPG)</t>
  </si>
  <si>
    <t xml:space="preserve">D Vocal prosody</t>
  </si>
  <si>
    <t xml:space="preserve">E Linguistic content</t>
  </si>
  <si>
    <t xml:space="preserve">F Session integrity</t>
  </si>
  <si>
    <t xml:space="preserve">Total</t>
  </si>
  <si>
    <t xml:space="preserve">By validity tier</t>
  </si>
  <si>
    <t xml:space="preserve">Validity tier</t>
  </si>
  <si>
    <t xml:space="preserve">Measured</t>
  </si>
  <si>
    <t xml:space="preserve">Weak inference</t>
  </si>
  <si>
    <t xml:space="preserve">Do not ship</t>
  </si>
  <si>
    <t xml:space="preserve">By build status</t>
  </si>
  <si>
    <t xml:space="preserve">Status</t>
  </si>
  <si>
    <t xml:space="preserve">Implemented</t>
  </si>
  <si>
    <t xml:space="preserve">Phase 1</t>
  </si>
  <si>
    <t xml:space="preserve">Phase 2</t>
  </si>
  <si>
    <t xml:space="preserve">Excluded</t>
  </si>
  <si>
    <t xml:space="preserve">Parameter ID</t>
  </si>
  <si>
    <t xml:space="preserve">Sub-group</t>
  </si>
  <si>
    <t xml:space="preserve">Parameter</t>
  </si>
  <si>
    <t xml:space="preserve">Type</t>
  </si>
  <si>
    <t xml:space="preserve">Unit / range</t>
  </si>
  <si>
    <t xml:space="preserve">Rate (Hz)</t>
  </si>
  <si>
    <t xml:space="preserve">What it measures</t>
  </si>
  <si>
    <t xml:space="preserve">Principal confound</t>
  </si>
  <si>
    <t xml:space="preserve">face.AU01</t>
  </si>
  <si>
    <t xml:space="preserve">A1 Upper face</t>
  </si>
  <si>
    <t xml:space="preserve">Inner brow raiser</t>
  </si>
  <si>
    <t xml:space="preserve">Raw</t>
  </si>
  <si>
    <t xml:space="preserve">0.0-1.0 activation</t>
  </si>
  <si>
    <t xml:space="preserve">Surprise or concern component; also plain listening behaviour</t>
  </si>
  <si>
    <t xml:space="preserve">Fires constantly in normal conversational backchannel</t>
  </si>
  <si>
    <t xml:space="preserve">face.AU02</t>
  </si>
  <si>
    <t xml:space="preserve">Outer brow raiser</t>
  </si>
  <si>
    <t xml:space="preserve">Surprise, emphasis, conversational punctuation</t>
  </si>
  <si>
    <t xml:space="preserve">Habitual expressive style varies enormously between people</t>
  </si>
  <si>
    <t xml:space="preserve">face.AU02_L</t>
  </si>
  <si>
    <t xml:space="preserve">Outer brow raiser — left side</t>
  </si>
  <si>
    <t xml:space="preserve">0.0-1.0</t>
  </si>
  <si>
    <t xml:space="preserve">Left-hemiface activation, measured independently</t>
  </si>
  <si>
    <t xml:space="preserve">face.AU02_R</t>
  </si>
  <si>
    <t xml:space="preserve">Outer brow raiser — right side</t>
  </si>
  <si>
    <t xml:space="preserve">Right-hemiface activation, measured independently</t>
  </si>
  <si>
    <t xml:space="preserve">face.AU02_asym</t>
  </si>
  <si>
    <t xml:space="preserve">A4 Asymmetry</t>
  </si>
  <si>
    <t xml:space="preserve">Outer brow raiser — asymmetry</t>
  </si>
  <si>
    <t xml:space="preserve">Derived</t>
  </si>
  <si>
    <t xml:space="preserve">0.0-1.0 (|L-R|)</t>
  </si>
  <si>
    <t xml:space="preserve">Left-right imbalance. Spontaneous expressions are more symmetric than posed ones as a population tendency</t>
  </si>
  <si>
    <t xml:space="preserve">Facial nerve variation, unilateral habit, camera angle. Never a per-person verdict</t>
  </si>
  <si>
    <t xml:space="preserve">face.AU04</t>
  </si>
  <si>
    <t xml:space="preserve">Brow lowerer</t>
  </si>
  <si>
    <t xml:space="preserve">Concentration, effortful recall, confusion</t>
  </si>
  <si>
    <t xml:space="preserve">Bright screen, squinting at small text, uncorrected vision</t>
  </si>
  <si>
    <t xml:space="preserve">face.AU04_L</t>
  </si>
  <si>
    <t xml:space="preserve">Brow lowerer — left side</t>
  </si>
  <si>
    <t xml:space="preserve">face.AU04_R</t>
  </si>
  <si>
    <t xml:space="preserve">Brow lowerer — right side</t>
  </si>
  <si>
    <t xml:space="preserve">face.AU04_asym</t>
  </si>
  <si>
    <t xml:space="preserve">Brow lowerer — asymmetry</t>
  </si>
  <si>
    <t xml:space="preserve">face.AU05</t>
  </si>
  <si>
    <t xml:space="preserve">A2 Mid face / periocular</t>
  </si>
  <si>
    <t xml:space="preserve">Upper lid raiser</t>
  </si>
  <si>
    <t xml:space="preserve">Alertness, surprise, startle</t>
  </si>
  <si>
    <t xml:space="preserve">Wide-set eyes and eyelid anatomy shift the baseline</t>
  </si>
  <si>
    <t xml:space="preserve">face.AU05_L</t>
  </si>
  <si>
    <t xml:space="preserve">Upper lid raiser — left side</t>
  </si>
  <si>
    <t xml:space="preserve">face.AU05_R</t>
  </si>
  <si>
    <t xml:space="preserve">Upper lid raiser — right side</t>
  </si>
  <si>
    <t xml:space="preserve">face.AU05_asym</t>
  </si>
  <si>
    <t xml:space="preserve">Upper lid raiser — asymmetry</t>
  </si>
  <si>
    <t xml:space="preserve">face.AU06</t>
  </si>
  <si>
    <t xml:space="preserve">Cheek raiser (Duchenne)</t>
  </si>
  <si>
    <t xml:space="preserve">Duchenne marker; with AU12 separates felt from social smiling</t>
  </si>
  <si>
    <t xml:space="preserve">Suppressed by strong under-lighting and by heavy eye makeup</t>
  </si>
  <si>
    <t xml:space="preserve">face.AU06_L</t>
  </si>
  <si>
    <t xml:space="preserve">Cheek raiser (Duchenne) — left side</t>
  </si>
  <si>
    <t xml:space="preserve">face.AU06_R</t>
  </si>
  <si>
    <t xml:space="preserve">Cheek raiser (Duchenne) — right side</t>
  </si>
  <si>
    <t xml:space="preserve">face.AU06_asym</t>
  </si>
  <si>
    <t xml:space="preserve">Cheek raiser (Duchenne) — asymmetry</t>
  </si>
  <si>
    <t xml:space="preserve">face.AU07</t>
  </si>
  <si>
    <t xml:space="preserve">Lid tightener</t>
  </si>
  <si>
    <t xml:space="preserve">Scrutiny, discomfort, or simply screen squint</t>
  </si>
  <si>
    <t xml:space="preserve">Screen distance and glare</t>
  </si>
  <si>
    <t xml:space="preserve">face.AU07_L</t>
  </si>
  <si>
    <t xml:space="preserve">Lid tightener — left side</t>
  </si>
  <si>
    <t xml:space="preserve">face.AU07_R</t>
  </si>
  <si>
    <t xml:space="preserve">Lid tightener — right side</t>
  </si>
  <si>
    <t xml:space="preserve">face.AU07_asym</t>
  </si>
  <si>
    <t xml:space="preserve">Lid tightener — asymmetry</t>
  </si>
  <si>
    <t xml:space="preserve">face.AU09</t>
  </si>
  <si>
    <t xml:space="preserve">Nose wrinkler</t>
  </si>
  <si>
    <t xml:space="preserve">Disgust component; rare, so high-signal when present</t>
  </si>
  <si>
    <t xml:space="preserve">Nose itch, allergies, spectacle bridge pressure</t>
  </si>
  <si>
    <t xml:space="preserve">face.AU09_L</t>
  </si>
  <si>
    <t xml:space="preserve">Nose wrinkler — left side</t>
  </si>
  <si>
    <t xml:space="preserve">face.AU09_R</t>
  </si>
  <si>
    <t xml:space="preserve">Nose wrinkler — right side</t>
  </si>
  <si>
    <t xml:space="preserve">face.AU09_asym</t>
  </si>
  <si>
    <t xml:space="preserve">Nose wrinkler — asymmetry</t>
  </si>
  <si>
    <t xml:space="preserve">face.AU45</t>
  </si>
  <si>
    <t xml:space="preserve">Blink</t>
  </si>
  <si>
    <t xml:space="preserve">Blink. Rate and interval track cognitive load</t>
  </si>
  <si>
    <t xml:space="preserve">Contact lenses, dry air, screen exposure, air conditioning</t>
  </si>
  <si>
    <t xml:space="preserve">face.AU45_L</t>
  </si>
  <si>
    <t xml:space="preserve">Blink — left side</t>
  </si>
  <si>
    <t xml:space="preserve">face.AU45_R</t>
  </si>
  <si>
    <t xml:space="preserve">Blink — right side</t>
  </si>
  <si>
    <t xml:space="preserve">face.AU45_asym</t>
  </si>
  <si>
    <t xml:space="preserve">Blink — asymmetry</t>
  </si>
  <si>
    <t xml:space="preserve">face.AU10</t>
  </si>
  <si>
    <t xml:space="preserve">A3 Lower face</t>
  </si>
  <si>
    <t xml:space="preserve">Upper lip raiser</t>
  </si>
  <si>
    <t xml:space="preserve">Contempt or disgust component; also speech articulation</t>
  </si>
  <si>
    <t xml:space="preserve">Fires on ordinary phoneme production</t>
  </si>
  <si>
    <t xml:space="preserve">face.AU12</t>
  </si>
  <si>
    <t xml:space="preserve">Lip corner puller (smile)</t>
  </si>
  <si>
    <t xml:space="preserve">Smile. The single most-reported AU and the most over-read</t>
  </si>
  <si>
    <t xml:space="preserve">Polite/social smiling is near-continuous in some cultures</t>
  </si>
  <si>
    <t xml:space="preserve">face.AU12_L</t>
  </si>
  <si>
    <t xml:space="preserve">Lip corner puller (smile) — left side</t>
  </si>
  <si>
    <t xml:space="preserve">face.AU12_R</t>
  </si>
  <si>
    <t xml:space="preserve">Lip corner puller (smile) — right side</t>
  </si>
  <si>
    <t xml:space="preserve">face.AU12_asym</t>
  </si>
  <si>
    <t xml:space="preserve">Lip corner puller (smile) — asymmetry</t>
  </si>
  <si>
    <t xml:space="preserve">face.AU14</t>
  </si>
  <si>
    <t xml:space="preserve">Dimpler</t>
  </si>
  <si>
    <t xml:space="preserve">Contempt, scepticism, or wry acknowledgement</t>
  </si>
  <si>
    <t xml:space="preserve">Very low base rate; noisy estimator</t>
  </si>
  <si>
    <t xml:space="preserve">face.AU14_L</t>
  </si>
  <si>
    <t xml:space="preserve">Dimpler — left side</t>
  </si>
  <si>
    <t xml:space="preserve">face.AU14_R</t>
  </si>
  <si>
    <t xml:space="preserve">Dimpler — right side</t>
  </si>
  <si>
    <t xml:space="preserve">face.AU14_asym</t>
  </si>
  <si>
    <t xml:space="preserve">Dimpler — asymmetry</t>
  </si>
  <si>
    <t xml:space="preserve">face.AU15</t>
  </si>
  <si>
    <t xml:space="preserve">Lip corner depressor</t>
  </si>
  <si>
    <t xml:space="preserve">Sadness or disappointment component</t>
  </si>
  <si>
    <t xml:space="preserve">Resting face anatomy; some faces sit here at neutral</t>
  </si>
  <si>
    <t xml:space="preserve">face.AU15_L</t>
  </si>
  <si>
    <t xml:space="preserve">Lip corner depressor — left side</t>
  </si>
  <si>
    <t xml:space="preserve">face.AU15_R</t>
  </si>
  <si>
    <t xml:space="preserve">Lip corner depressor — right side</t>
  </si>
  <si>
    <t xml:space="preserve">face.AU15_asym</t>
  </si>
  <si>
    <t xml:space="preserve">Lip corner depressor — asymmetry</t>
  </si>
  <si>
    <t xml:space="preserve">face.AU16</t>
  </si>
  <si>
    <t xml:space="preserve">Lower lip depressor</t>
  </si>
  <si>
    <t xml:space="preserve">Speech articulation, occasionally disgust</t>
  </si>
  <si>
    <t xml:space="preserve">Almost entirely speech-driven</t>
  </si>
  <si>
    <t xml:space="preserve">face.AU16_L</t>
  </si>
  <si>
    <t xml:space="preserve">Lower lip depressor — left side</t>
  </si>
  <si>
    <t xml:space="preserve">face.AU16_R</t>
  </si>
  <si>
    <t xml:space="preserve">Lower lip depressor — right side</t>
  </si>
  <si>
    <t xml:space="preserve">face.AU16_asym</t>
  </si>
  <si>
    <t xml:space="preserve">Lower lip depressor — asymmetry</t>
  </si>
  <si>
    <t xml:space="preserve">face.AU17</t>
  </si>
  <si>
    <t xml:space="preserve">Chin raiser</t>
  </si>
  <si>
    <t xml:space="preserve">Doubt, suppressed disagreement, chin tension</t>
  </si>
  <si>
    <t xml:space="preserve">Overlaps heavily with speech</t>
  </si>
  <si>
    <t xml:space="preserve">face.AU18</t>
  </si>
  <si>
    <t xml:space="preserve">Lip pucker</t>
  </si>
  <si>
    <t xml:space="preserve">Uncertainty, thinking, word-searching</t>
  </si>
  <si>
    <t xml:space="preserve">Speech articulation</t>
  </si>
  <si>
    <t xml:space="preserve">face.AU20</t>
  </si>
  <si>
    <t xml:space="preserve">Lip stretcher</t>
  </si>
  <si>
    <t xml:space="preserve">Fear component; also tension and effortful speech</t>
  </si>
  <si>
    <t xml:space="preserve">face.AU20_L</t>
  </si>
  <si>
    <t xml:space="preserve">Lip stretcher — left side</t>
  </si>
  <si>
    <t xml:space="preserve">face.AU20_R</t>
  </si>
  <si>
    <t xml:space="preserve">Lip stretcher — right side</t>
  </si>
  <si>
    <t xml:space="preserve">face.AU20_asym</t>
  </si>
  <si>
    <t xml:space="preserve">Lip stretcher — asymmetry</t>
  </si>
  <si>
    <t xml:space="preserve">face.AU22</t>
  </si>
  <si>
    <t xml:space="preserve">Lip funneler</t>
  </si>
  <si>
    <t xml:space="preserve">Speech articulation (rounded vowels)</t>
  </si>
  <si>
    <t xml:space="preserve">Essentially a speech artefact in an interview</t>
  </si>
  <si>
    <t xml:space="preserve">face.AU24</t>
  </si>
  <si>
    <t xml:space="preserve">Lip pressor</t>
  </si>
  <si>
    <t xml:space="preserve">Lip press: suppression, restraint, holding back a response</t>
  </si>
  <si>
    <t xml:space="preserve">Also just keeping the mouth closed while listening</t>
  </si>
  <si>
    <t xml:space="preserve">face.AU24_L</t>
  </si>
  <si>
    <t xml:space="preserve">Lip pressor — left side</t>
  </si>
  <si>
    <t xml:space="preserve">face.AU24_R</t>
  </si>
  <si>
    <t xml:space="preserve">Lip pressor — right side</t>
  </si>
  <si>
    <t xml:space="preserve">face.AU24_asym</t>
  </si>
  <si>
    <t xml:space="preserve">Lip pressor — asymmetry</t>
  </si>
  <si>
    <t xml:space="preserve">face.AU25</t>
  </si>
  <si>
    <t xml:space="preserve">Lips part</t>
  </si>
  <si>
    <t xml:space="preserve">Lips parted: speaking, or open-mouth attentiveness</t>
  </si>
  <si>
    <t xml:space="preserve">Tracks speech almost perfectly; use as a speech proxy</t>
  </si>
  <si>
    <t xml:space="preserve">face.AU26</t>
  </si>
  <si>
    <t xml:space="preserve">Jaw drop</t>
  </si>
  <si>
    <t xml:space="preserve">Jaw drop: speech volume, surprise, yawning</t>
  </si>
  <si>
    <t xml:space="preserve">Speech-driven</t>
  </si>
  <si>
    <t xml:space="preserve">face.AU28</t>
  </si>
  <si>
    <t xml:space="preserve">Lip suck</t>
  </si>
  <si>
    <t xml:space="preserve">Lip suck: hesitation, self-editing, dry mouth</t>
  </si>
  <si>
    <t xml:space="preserve">Dry mouth is a common interview physiological effect</t>
  </si>
  <si>
    <t xml:space="preserve">face.AU28_L</t>
  </si>
  <si>
    <t xml:space="preserve">Lip suck — left side</t>
  </si>
  <si>
    <t xml:space="preserve">face.AU28_R</t>
  </si>
  <si>
    <t xml:space="preserve">Lip suck — right side</t>
  </si>
  <si>
    <t xml:space="preserve">face.AU28_asym</t>
  </si>
  <si>
    <t xml:space="preserve">Lip suck — asymmetry</t>
  </si>
  <si>
    <t xml:space="preserve">face.AU29</t>
  </si>
  <si>
    <t xml:space="preserve">Jaw thrust</t>
  </si>
  <si>
    <t xml:space="preserve">Jaw thrust; rare</t>
  </si>
  <si>
    <t xml:space="preserve">Very low base rate</t>
  </si>
  <si>
    <t xml:space="preserve">face.AU30</t>
  </si>
  <si>
    <t xml:space="preserve">Jaw sideways</t>
  </si>
  <si>
    <t xml:space="preserve">Jaw sideways; rare</t>
  </si>
  <si>
    <t xml:space="preserve">face.AU30_L</t>
  </si>
  <si>
    <t xml:space="preserve">Jaw sideways — left side</t>
  </si>
  <si>
    <t xml:space="preserve">face.AU30_R</t>
  </si>
  <si>
    <t xml:space="preserve">Jaw sideways — right side</t>
  </si>
  <si>
    <t xml:space="preserve">face.AU30_asym</t>
  </si>
  <si>
    <t xml:space="preserve">Jaw sideways — asymmetry</t>
  </si>
  <si>
    <t xml:space="preserve">face.AU33</t>
  </si>
  <si>
    <t xml:space="preserve">Cheek puff</t>
  </si>
  <si>
    <t xml:space="preserve">Cheek puff: exhalation, exasperation, thinking</t>
  </si>
  <si>
    <t xml:space="preserve">Also just breathing out</t>
  </si>
  <si>
    <t xml:space="preserve">face.AU36</t>
  </si>
  <si>
    <t xml:space="preserve">Tongue show</t>
  </si>
  <si>
    <t xml:space="preserve">Near-zero base rate in a professional interview</t>
  </si>
  <si>
    <t xml:space="preserve">face.AU38</t>
  </si>
  <si>
    <t xml:space="preserve">Mouth sideways</t>
  </si>
  <si>
    <t xml:space="preserve">Mouth pulled sideways: scepticism, wry reaction</t>
  </si>
  <si>
    <t xml:space="preserve">face.AU38_L</t>
  </si>
  <si>
    <t xml:space="preserve">Mouth sideways — left side</t>
  </si>
  <si>
    <t xml:space="preserve">face.AU38_R</t>
  </si>
  <si>
    <t xml:space="preserve">Mouth sideways — right side</t>
  </si>
  <si>
    <t xml:space="preserve">face.AU38_asym</t>
  </si>
  <si>
    <t xml:space="preserve">Mouth sideways — asymmetry</t>
  </si>
  <si>
    <t xml:space="preserve">face.AU51</t>
  </si>
  <si>
    <t xml:space="preserve">A5 Rigid head (FACS 51-58)</t>
  </si>
  <si>
    <t xml:space="preserve">Head turn left</t>
  </si>
  <si>
    <t xml:space="preserve">0.0-1.0 normalised angle</t>
  </si>
  <si>
    <t xml:space="preserve">Head turned to subject's left</t>
  </si>
  <si>
    <t xml:space="preserve">Second monitor or notes placed to one side</t>
  </si>
  <si>
    <t xml:space="preserve">face.AU52</t>
  </si>
  <si>
    <t xml:space="preserve">Head turn right</t>
  </si>
  <si>
    <t xml:space="preserve">Head turned to subject's right</t>
  </si>
  <si>
    <t xml:space="preserve">face.AU53</t>
  </si>
  <si>
    <t xml:space="preserve">Head up</t>
  </si>
  <si>
    <t xml:space="preserve">Head raised</t>
  </si>
  <si>
    <t xml:space="preserve">Camera mounted below eye line, common on laptops</t>
  </si>
  <si>
    <t xml:space="preserve">face.AU54</t>
  </si>
  <si>
    <t xml:space="preserve">Head down</t>
  </si>
  <si>
    <t xml:space="preserve">Head lowered; nodding, or reading from notes</t>
  </si>
  <si>
    <t xml:space="preserve">Laptop camera angle; reading the question on screen</t>
  </si>
  <si>
    <t xml:space="preserve">face.AU55</t>
  </si>
  <si>
    <t xml:space="preserve">Head tilt left</t>
  </si>
  <si>
    <t xml:space="preserve">Head tilted left; often a listening posture</t>
  </si>
  <si>
    <t xml:space="preserve">Leaning on a hand, chair back angle</t>
  </si>
  <si>
    <t xml:space="preserve">face.AU56</t>
  </si>
  <si>
    <t xml:space="preserve">Head tilt right</t>
  </si>
  <si>
    <t xml:space="preserve">Head tilted right; often a listening posture</t>
  </si>
  <si>
    <t xml:space="preserve">face.AU57</t>
  </si>
  <si>
    <t xml:space="preserve">Head forward</t>
  </si>
  <si>
    <t xml:space="preserve">Head/torso forward: engagement or hearing difficulty</t>
  </si>
  <si>
    <t xml:space="preserve">Small laptop screen invites leaning in</t>
  </si>
  <si>
    <t xml:space="preserve">face.AU58</t>
  </si>
  <si>
    <t xml:space="preserve">Head back</t>
  </si>
  <si>
    <t xml:space="preserve">Head/torso back: distance or relaxation</t>
  </si>
  <si>
    <t xml:space="preserve">Chair recline</t>
  </si>
  <si>
    <t xml:space="preserve">face.AU61</t>
  </si>
  <si>
    <t xml:space="preserve">A6 Gaze (FACS 61-64)</t>
  </si>
  <si>
    <t xml:space="preserve">Eyes turn left</t>
  </si>
  <si>
    <t xml:space="preserve">Eyes left, independent of head pose</t>
  </si>
  <si>
    <t xml:space="preserve">Interviewer video tile position on screen</t>
  </si>
  <si>
    <t xml:space="preserve">face.AU62</t>
  </si>
  <si>
    <t xml:space="preserve">Eyes turn right</t>
  </si>
  <si>
    <t xml:space="preserve">Eyes right, independent of head pose</t>
  </si>
  <si>
    <t xml:space="preserve">face.AU63</t>
  </si>
  <si>
    <t xml:space="preserve">Eyes up</t>
  </si>
  <si>
    <t xml:space="preserve">Eyes up: recall or thinking</t>
  </si>
  <si>
    <t xml:space="preserve">Notes or a second screen placed above</t>
  </si>
  <si>
    <t xml:space="preserve">face.AU64</t>
  </si>
  <si>
    <t xml:space="preserve">Eyes down</t>
  </si>
  <si>
    <t xml:space="preserve">Eyes down: notes, keyboard, or reflection</t>
  </si>
  <si>
    <t xml:space="preserve">Reading from a document is indistinguishable from avoidance</t>
  </si>
  <si>
    <t xml:space="preserve">face.head_yaw</t>
  </si>
  <si>
    <t xml:space="preserve">A7 Head pose</t>
  </si>
  <si>
    <t xml:space="preserve">Head yaw</t>
  </si>
  <si>
    <t xml:space="preserve">degrees, -90 to +90</t>
  </si>
  <si>
    <t xml:space="preserve">Horizontal head rotation from the 4x4 face transform matrix</t>
  </si>
  <si>
    <t xml:space="preserve">Camera not centred on the subject</t>
  </si>
  <si>
    <t xml:space="preserve">face.head_pitch</t>
  </si>
  <si>
    <t xml:space="preserve">Head pitch</t>
  </si>
  <si>
    <t xml:space="preserve">Vertical head rotation</t>
  </si>
  <si>
    <t xml:space="preserve">Laptop cameras sit below the eye line</t>
  </si>
  <si>
    <t xml:space="preserve">face.head_roll</t>
  </si>
  <si>
    <t xml:space="preserve">Head roll</t>
  </si>
  <si>
    <t xml:space="preserve">Head tilt around the viewing axis</t>
  </si>
  <si>
    <t xml:space="preserve">Chair and desk geometry</t>
  </si>
  <si>
    <t xml:space="preserve">face.head_motion_energy</t>
  </si>
  <si>
    <t xml:space="preserve">Head motion energy</t>
  </si>
  <si>
    <t xml:space="preserve">deg/frame, 5 s mean</t>
  </si>
  <si>
    <t xml:space="preserve">How much the head moves regardless of direction. High sustained values read as restlessness, near-zero as rigidity</t>
  </si>
  <si>
    <t xml:space="preserve">Video stutter on a poor connection inflates this</t>
  </si>
  <si>
    <t xml:space="preserve">face.blink_count</t>
  </si>
  <si>
    <t xml:space="preserve">A8 Blink dynamics</t>
  </si>
  <si>
    <t xml:space="preserve">Blink count</t>
  </si>
  <si>
    <t xml:space="preserve">integer, cumulative</t>
  </si>
  <si>
    <t xml:space="preserve">Blinks committed by the hysteresis detector</t>
  </si>
  <si>
    <t xml:space="preserve">Contact lenses and dry air change the rate several-fold</t>
  </si>
  <si>
    <t xml:space="preserve">face.blink_dur_mean_ms</t>
  </si>
  <si>
    <t xml:space="preserve">Mean blink duration</t>
  </si>
  <si>
    <t xml:space="preserve">milliseconds</t>
  </si>
  <si>
    <t xml:space="preserve">Eye-closure duration. Long closures track drowsiness</t>
  </si>
  <si>
    <t xml:space="preserve">30 fps sampling quantises this to ~33 ms steps</t>
  </si>
  <si>
    <t xml:space="preserve">face.interblink_mean_s</t>
  </si>
  <si>
    <t xml:space="preserve">Mean inter-blink interval</t>
  </si>
  <si>
    <t xml:space="preserve">seconds</t>
  </si>
  <si>
    <t xml:space="preserve">Gap between blinks. Lengthens under focused attention</t>
  </si>
  <si>
    <t xml:space="preserve">Screen exposure suppresses blinking generally</t>
  </si>
  <si>
    <t xml:space="preserve">face.interblink_cv</t>
  </si>
  <si>
    <t xml:space="preserve">Inter-blink variability</t>
  </si>
  <si>
    <t xml:space="preserve">coefficient of variation</t>
  </si>
  <si>
    <t xml:space="preserve">Regularity of blinking. Irregularity rises with cognitive load</t>
  </si>
  <si>
    <t xml:space="preserve">Needs several minutes of data to stabilise</t>
  </si>
  <si>
    <t xml:space="preserve">face.gaze_x</t>
  </si>
  <si>
    <t xml:space="preserve">A9 Gaze</t>
  </si>
  <si>
    <t xml:space="preserve">Gaze horizontal</t>
  </si>
  <si>
    <t xml:space="preserve">-1.0 to +1.0</t>
  </si>
  <si>
    <t xml:space="preserve">Eye deviation left/right, independent of head pose</t>
  </si>
  <si>
    <t xml:space="preserve">Where the interviewer's video tile sits on screen</t>
  </si>
  <si>
    <t xml:space="preserve">face.gaze_y</t>
  </si>
  <si>
    <t xml:space="preserve">Gaze vertical</t>
  </si>
  <si>
    <t xml:space="preserve">Eye deviation up/down</t>
  </si>
  <si>
    <t xml:space="preserve">Notes or a second monitor</t>
  </si>
  <si>
    <t xml:space="preserve">face.gaze_magnitude</t>
  </si>
  <si>
    <t xml:space="preserve">Gaze deviation</t>
  </si>
  <si>
    <t xml:space="preserve">0.0-1.4</t>
  </si>
  <si>
    <t xml:space="preserve">Distance of gaze from centre</t>
  </si>
  <si>
    <t xml:space="preserve">As above</t>
  </si>
  <si>
    <t xml:space="preserve">face.gaze_on_camera_ratio</t>
  </si>
  <si>
    <t xml:space="preserve">Gaze-to-camera ratio</t>
  </si>
  <si>
    <t xml:space="preserve">0.0-1.0, 30 s window</t>
  </si>
  <si>
    <t xml:space="preserve">Fraction of time gaze and head are both near-frontal</t>
  </si>
  <si>
    <t xml:space="preserve">Screen layout dominates this. Direct-gaze norms vary sharply by culture and by seniority. NOT an honesty signal</t>
  </si>
  <si>
    <t xml:space="preserve">face.au_activation_sum</t>
  </si>
  <si>
    <t xml:space="preserve">A10 Expressivity</t>
  </si>
  <si>
    <t xml:space="preserve">Total AU activation</t>
  </si>
  <si>
    <t xml:space="preserve">sum of 26 AUs</t>
  </si>
  <si>
    <t xml:space="preserve">Overall facial movement magnitude</t>
  </si>
  <si>
    <t xml:space="preserve">Resting-face anatomy shifts the baseline between people</t>
  </si>
  <si>
    <t xml:space="preserve">face.au_active_count</t>
  </si>
  <si>
    <t xml:space="preserve">Active AU count</t>
  </si>
  <si>
    <t xml:space="preserve">0-26 integer</t>
  </si>
  <si>
    <t xml:space="preserve">How many AUs exceed 0.15 simultaneously</t>
  </si>
  <si>
    <t xml:space="preserve">Threshold is a chosen constant</t>
  </si>
  <si>
    <t xml:space="preserve">face.smile_duchenne</t>
  </si>
  <si>
    <t xml:space="preserve">Duchenne smile index</t>
  </si>
  <si>
    <t xml:space="preserve">min(AU06, AU12) — the felt-smile marker. Well replicated as a distinction between smile types</t>
  </si>
  <si>
    <t xml:space="preserve">Says something about the smile, not about the person</t>
  </si>
  <si>
    <t xml:space="preserve">face.smile_social</t>
  </si>
  <si>
    <t xml:space="preserve">Social smile index</t>
  </si>
  <si>
    <t xml:space="preserve">max(0, AU12 - AU06) — polite smiling without eye involvement</t>
  </si>
  <si>
    <t xml:space="preserve">Polite smiling is a professional norm, not a tell</t>
  </si>
  <si>
    <t xml:space="preserve">body.shoulder_tilt_deg</t>
  </si>
  <si>
    <t xml:space="preserve">B1 Posture and gesture</t>
  </si>
  <si>
    <t xml:space="preserve">Shoulder line tilt</t>
  </si>
  <si>
    <t xml:space="preserve">degrees</t>
  </si>
  <si>
    <t xml:space="preserve">Angle of the line between the shoulder joints</t>
  </si>
  <si>
    <t xml:space="preserve">Chair design and desk height, more than posture</t>
  </si>
  <si>
    <t xml:space="preserve">body.lean_index</t>
  </si>
  <si>
    <t xml:space="preserve">Lean index</t>
  </si>
  <si>
    <t xml:space="preserve">ratio vs. session baseline</t>
  </si>
  <si>
    <t xml:space="preserve">Shoulder width relative to the session start — a proximity proxy</t>
  </si>
  <si>
    <t xml:space="preserve">Laptop vs. desktop working distance</t>
  </si>
  <si>
    <t xml:space="preserve">body.postural_sway</t>
  </si>
  <si>
    <t xml:space="preserve">Postural sway</t>
  </si>
  <si>
    <t xml:space="preserve">normalised displacement / 5 s</t>
  </si>
  <si>
    <t xml:space="preserve">Shoulder-midpoint movement energy</t>
  </si>
  <si>
    <t xml:space="preserve">Swivel and wheeled chairs</t>
  </si>
  <si>
    <t xml:space="preserve">body.gesture_energy</t>
  </si>
  <si>
    <t xml:space="preserve">Gesture energy</t>
  </si>
  <si>
    <t xml:space="preserve">normalised wrist velocity</t>
  </si>
  <si>
    <t xml:space="preserve">How actively the hands move while speaking</t>
  </si>
  <si>
    <t xml:space="preserve">Most webcam framing crops the hands out entirely</t>
  </si>
  <si>
    <t xml:space="preserve">body.gesture_amplitude</t>
  </si>
  <si>
    <t xml:space="preserve">Gesture amplitude</t>
  </si>
  <si>
    <t xml:space="preserve">normalised spread</t>
  </si>
  <si>
    <t xml:space="preserve">How large the gesture space is</t>
  </si>
  <si>
    <t xml:space="preserve">Strong cultural variation in baseline gesture size</t>
  </si>
  <si>
    <t xml:space="preserve">body.hands_visible_ratio</t>
  </si>
  <si>
    <t xml:space="preserve">Hands-visible ratio</t>
  </si>
  <si>
    <t xml:space="preserve">0.0-1.0, 30 s</t>
  </si>
  <si>
    <t xml:space="preserve">Fraction of frames with a wrist detected</t>
  </si>
  <si>
    <t xml:space="preserve">This measures camera framing, not behaviour</t>
  </si>
  <si>
    <t xml:space="preserve">body.self_touch_ratio</t>
  </si>
  <si>
    <t xml:space="preserve">Self-touch (adaptors)</t>
  </si>
  <si>
    <t xml:space="preserve">Hand-to-face or hand-to-neck contact frequency. Rises with general arousal, which includes ordinary interview nerves</t>
  </si>
  <si>
    <t xml:space="preserve">Explicitly NOT a deception cue — that claim is unsupported</t>
  </si>
  <si>
    <t xml:space="preserve">body.nod_rate</t>
  </si>
  <si>
    <t xml:space="preserve">Head nod rate</t>
  </si>
  <si>
    <t xml:space="preserve">nods/min</t>
  </si>
  <si>
    <t xml:space="preserve">Periodicity in the pitch channel</t>
  </si>
  <si>
    <t xml:space="preserve">The Indian head bob is a distinct gesture a naive model will misclassify as a nod or a shake</t>
  </si>
  <si>
    <t xml:space="preserve">body.shake_rate</t>
  </si>
  <si>
    <t xml:space="preserve">Head shake rate</t>
  </si>
  <si>
    <t xml:space="preserve">shakes/min</t>
  </si>
  <si>
    <t xml:space="preserve">Periodicity in the yaw channel</t>
  </si>
  <si>
    <t xml:space="preserve">body.shoulder_width_norm</t>
  </si>
  <si>
    <t xml:space="preserve">Shoulder width</t>
  </si>
  <si>
    <t xml:space="preserve">normalised image units</t>
  </si>
  <si>
    <t xml:space="preserve">Raw scale input for the lean index</t>
  </si>
  <si>
    <t xml:space="preserve">Clothing bulk</t>
  </si>
  <si>
    <t xml:space="preserve">body.pose_visibility</t>
  </si>
  <si>
    <t xml:space="preserve">Pose visibility</t>
  </si>
  <si>
    <t xml:space="preserve">Landmark confidence for shoulders and nose</t>
  </si>
  <si>
    <t xml:space="preserve">Quality gate — low values invalidate the whole group</t>
  </si>
  <si>
    <t xml:space="preserve">physio.bpm</t>
  </si>
  <si>
    <t xml:space="preserve">C1 Cardiac</t>
  </si>
  <si>
    <t xml:space="preserve">Pulse rate</t>
  </si>
  <si>
    <t xml:space="preserve">beats/min, 42-180</t>
  </si>
  <si>
    <t xml:space="preserve">Cardiac pulse recovered from facial skin colour change (POS algorithm)</t>
  </si>
  <si>
    <t xml:space="preserve">~5.5 BPM field error on webcam video; degrades with darker skin tones, motion and talking</t>
  </si>
  <si>
    <t xml:space="preserve">physio.sqi</t>
  </si>
  <si>
    <t xml:space="preserve">Signal quality index</t>
  </si>
  <si>
    <t xml:space="preserve">Spectral peak concentration. Below 0.35 the estimate is discarded</t>
  </si>
  <si>
    <t xml:space="preserve">Mandatory gate — never display a BPM without it</t>
  </si>
  <si>
    <t xml:space="preserve">physio.roi_spread_bpm</t>
  </si>
  <si>
    <t xml:space="preserve">ROI disagreement</t>
  </si>
  <si>
    <t xml:space="preserve">BPM</t>
  </si>
  <si>
    <t xml:space="preserve">Spread between forehead and both cheek estimates. A cross-check: wide spread means the number is unreliable however good the SQI looks</t>
  </si>
  <si>
    <t xml:space="preserve">Needs all three ROIs visible</t>
  </si>
  <si>
    <t xml:space="preserve">physio.bpm_delta_baseline</t>
  </si>
  <si>
    <t xml:space="preserve">Pulse change vs. baseline</t>
  </si>
  <si>
    <t xml:space="preserve">BPM difference</t>
  </si>
  <si>
    <t xml:space="preserve">Deviation from the subject's own settled baseline. More robust than absolute BPM because it cancels per-person offset</t>
  </si>
  <si>
    <t xml:space="preserve">Posture change and speaking both raise it independently of any psychological state</t>
  </si>
  <si>
    <t xml:space="preserve">physio.resp_rate</t>
  </si>
  <si>
    <t xml:space="preserve">Respiration rate</t>
  </si>
  <si>
    <t xml:space="preserve">breaths/min</t>
  </si>
  <si>
    <t xml:space="preserve">Extracted from the pulse-signal envelope</t>
  </si>
  <si>
    <t xml:space="preserve">Needs a still subject; largely unusable while speaking</t>
  </si>
  <si>
    <t xml:space="preserve">physio.hrv_sdnn</t>
  </si>
  <si>
    <t xml:space="preserve">HRV — SDNN</t>
  </si>
  <si>
    <t xml:space="preserve">Beat-to-beat variability</t>
  </si>
  <si>
    <t xml:space="preserve">Requires beat-level peak timing that webcam video in a talking-head scenario cannot deliver. Use a chest strap or drop it</t>
  </si>
  <si>
    <t xml:space="preserve">physio.hrv_rmssd</t>
  </si>
  <si>
    <t xml:space="preserve">HRV — RMSSD</t>
  </si>
  <si>
    <t xml:space="preserve">Short-term parasympathetic variability index</t>
  </si>
  <si>
    <t xml:space="preserve">physio.stress_index</t>
  </si>
  <si>
    <t xml:space="preserve">Stress / deception index</t>
  </si>
  <si>
    <t xml:space="preserve">—</t>
  </si>
  <si>
    <t xml:space="preserve">No validated mapping exists from pulse to either construct in this setting</t>
  </si>
  <si>
    <t xml:space="preserve">Do not build this</t>
  </si>
  <si>
    <t xml:space="preserve">audio.f0_mean</t>
  </si>
  <si>
    <t xml:space="preserve">D1 Pitch</t>
  </si>
  <si>
    <t xml:space="preserve">Pitch mean (F0)</t>
  </si>
  <si>
    <t xml:space="preserve">Hz</t>
  </si>
  <si>
    <t xml:space="preserve">Average fundamental frequency</t>
  </si>
  <si>
    <t xml:space="preserve">Strong sex and individual differences — must be within-person normalised</t>
  </si>
  <si>
    <t xml:space="preserve">audio.f0_range</t>
  </si>
  <si>
    <t xml:space="preserve">Pitch range</t>
  </si>
  <si>
    <t xml:space="preserve">Expressive pitch span. Narrow range reads as monotone</t>
  </si>
  <si>
    <t xml:space="preserve">Microphone frequency response</t>
  </si>
  <si>
    <t xml:space="preserve">audio.f0_slope</t>
  </si>
  <si>
    <t xml:space="preserve">Pitch contour slope</t>
  </si>
  <si>
    <t xml:space="preserve">Hz/s</t>
  </si>
  <si>
    <t xml:space="preserve">Rising vs. falling intonation — statement vs. uncertainty framing</t>
  </si>
  <si>
    <t xml:space="preserve">Language and dialect intonation patterns differ</t>
  </si>
  <si>
    <t xml:space="preserve">audio.f0_declination</t>
  </si>
  <si>
    <t xml:space="preserve">Pitch declination</t>
  </si>
  <si>
    <t xml:space="preserve">Hz/utterance</t>
  </si>
  <si>
    <t xml:space="preserve">Pitch drop across an utterance; tracks assertiveness of delivery</t>
  </si>
  <si>
    <t xml:space="preserve">Requires clean utterance segmentation</t>
  </si>
  <si>
    <t xml:space="preserve">audio.jitter</t>
  </si>
  <si>
    <t xml:space="preserve">D2 Voice quality</t>
  </si>
  <si>
    <t xml:space="preserve">Jitter</t>
  </si>
  <si>
    <t xml:space="preserve">% cycle-to-cycle</t>
  </si>
  <si>
    <t xml:space="preserve">Pitch period irregularity; rises with vocal tension</t>
  </si>
  <si>
    <t xml:space="preserve">Codec compression destroys this — needs uncompressed or high-bitrate audio</t>
  </si>
  <si>
    <t xml:space="preserve">audio.shimmer</t>
  </si>
  <si>
    <t xml:space="preserve">Shimmer</t>
  </si>
  <si>
    <t xml:space="preserve">dB</t>
  </si>
  <si>
    <t xml:space="preserve">Amplitude irregularity</t>
  </si>
  <si>
    <t xml:space="preserve">audio.hnr</t>
  </si>
  <si>
    <t xml:space="preserve">Harmonics-to-noise ratio</t>
  </si>
  <si>
    <t xml:space="preserve">Voice clarity vs. breathiness</t>
  </si>
  <si>
    <t xml:space="preserve">Background noise directly corrupts it</t>
  </si>
  <si>
    <t xml:space="preserve">audio.speech_rate</t>
  </si>
  <si>
    <t xml:space="preserve">D3 Tempo</t>
  </si>
  <si>
    <t xml:space="preserve">Speech rate</t>
  </si>
  <si>
    <t xml:space="preserve">syllables/s incl. pauses</t>
  </si>
  <si>
    <t xml:space="preserve">Overall pace of delivery</t>
  </si>
  <si>
    <t xml:space="preserve">Language and register</t>
  </si>
  <si>
    <t xml:space="preserve">audio.articulation_rate</t>
  </si>
  <si>
    <t xml:space="preserve">Articulation rate</t>
  </si>
  <si>
    <t xml:space="preserve">syllables/s excl. pauses</t>
  </si>
  <si>
    <t xml:space="preserve">Pace while actually speaking — separates fast talking from few pauses</t>
  </si>
  <si>
    <t xml:space="preserve">Needs reliable pause segmentation</t>
  </si>
  <si>
    <t xml:space="preserve">audio.pause_count</t>
  </si>
  <si>
    <t xml:space="preserve">Pause count</t>
  </si>
  <si>
    <t xml:space="preserve">pauses/min</t>
  </si>
  <si>
    <t xml:space="preserve">Silences above 250 ms</t>
  </si>
  <si>
    <t xml:space="preserve">VAD threshold choice</t>
  </si>
  <si>
    <t xml:space="preserve">audio.pause_mean_dur</t>
  </si>
  <si>
    <t xml:space="preserve">Mean pause duration</t>
  </si>
  <si>
    <t xml:space="preserve">Length of silences; long ones read as thinking or stalling</t>
  </si>
  <si>
    <t xml:space="preserve">Network jitter creates artificial pauses</t>
  </si>
  <si>
    <t xml:space="preserve">audio.filled_pause_rate</t>
  </si>
  <si>
    <t xml:space="preserve">D4 Disfluency</t>
  </si>
  <si>
    <t xml:space="preserve">Filled pauses</t>
  </si>
  <si>
    <t xml:space="preserve">per 100 words</t>
  </si>
  <si>
    <t xml:space="preserve">um, uh, er — the most coachable delivery feature there is</t>
  </si>
  <si>
    <t xml:space="preserve">Base rate varies by language and by nervousness, not by ability</t>
  </si>
  <si>
    <t xml:space="preserve">audio.repair_rate</t>
  </si>
  <si>
    <t xml:space="preserve">Self-repairs</t>
  </si>
  <si>
    <t xml:space="preserve">Restarts and corrections mid-utterance</t>
  </si>
  <si>
    <t xml:space="preserve">Non-native speaker penalty risk</t>
  </si>
  <si>
    <t xml:space="preserve">audio.response_latency</t>
  </si>
  <si>
    <t xml:space="preserve">D5 Interaction</t>
  </si>
  <si>
    <t xml:space="preserve">Response latency</t>
  </si>
  <si>
    <t xml:space="preserve">Delay between question end and answer start</t>
  </si>
  <si>
    <t xml:space="preserve">Network round-trip time is indistinguishable from thinking time</t>
  </si>
  <si>
    <t xml:space="preserve">audio.turn_length_mean</t>
  </si>
  <si>
    <t xml:space="preserve">Mean turn length</t>
  </si>
  <si>
    <t xml:space="preserve">How long the subject holds the floor</t>
  </si>
  <si>
    <t xml:space="preserve">Question type drives this</t>
  </si>
  <si>
    <t xml:space="preserve">audio.talk_time_ratio</t>
  </si>
  <si>
    <t xml:space="preserve">Talk-time ratio</t>
  </si>
  <si>
    <t xml:space="preserve">Candidate speech time / total. The key interview-QA metric: an interviewer above 0.4 is not interviewing</t>
  </si>
  <si>
    <t xml:space="preserve">Needs speaker diarisation</t>
  </si>
  <si>
    <t xml:space="preserve">audio.interruption_count</t>
  </si>
  <si>
    <t xml:space="preserve">Interruptions</t>
  </si>
  <si>
    <t xml:space="preserve">count</t>
  </si>
  <si>
    <t xml:space="preserve">Overlapping speech onsets. Best used on the INTERVIEWER, as bias telemetry</t>
  </si>
  <si>
    <t xml:space="preserve">Network latency causes accidental overlap</t>
  </si>
  <si>
    <t xml:space="preserve">audio.rms_energy</t>
  </si>
  <si>
    <t xml:space="preserve">D6 Energy</t>
  </si>
  <si>
    <t xml:space="preserve">Loudness</t>
  </si>
  <si>
    <t xml:space="preserve">dB RMS</t>
  </si>
  <si>
    <t xml:space="preserve">Vocal energy level</t>
  </si>
  <si>
    <t xml:space="preserve">Microphone gain and distance — normalise per session</t>
  </si>
  <si>
    <t xml:space="preserve">audio.energy_variability</t>
  </si>
  <si>
    <t xml:space="preserve">Loudness variability</t>
  </si>
  <si>
    <t xml:space="preserve">dB SD</t>
  </si>
  <si>
    <t xml:space="preserve">Dynamic range of delivery; flat values read as monotone</t>
  </si>
  <si>
    <t xml:space="preserve">Automatic gain control flattens this at source</t>
  </si>
  <si>
    <t xml:space="preserve">text.star_completeness</t>
  </si>
  <si>
    <t xml:space="preserve">E1 Answer structure</t>
  </si>
  <si>
    <t xml:space="preserve">STAR completeness</t>
  </si>
  <si>
    <t xml:space="preserve">0-4 components present</t>
  </si>
  <si>
    <t xml:space="preserve">Situation / Task / Action / Result structure in a behavioural answer</t>
  </si>
  <si>
    <t xml:space="preserve">This is where the real predictive signal lives</t>
  </si>
  <si>
    <t xml:space="preserve">text.specificity_score</t>
  </si>
  <si>
    <t xml:space="preserve">Specificity</t>
  </si>
  <si>
    <t xml:space="preserve">Concrete detail density — names, numbers, dates, tools — vs. generalities</t>
  </si>
  <si>
    <t xml:space="preserve">Confidentiality constraints legitimately reduce specificity</t>
  </si>
  <si>
    <t xml:space="preserve">text.quantification_rate</t>
  </si>
  <si>
    <t xml:space="preserve">Quantification</t>
  </si>
  <si>
    <t xml:space="preserve">quantified claims / claims</t>
  </si>
  <si>
    <t xml:space="preserve">Proportion of claims backed by a number</t>
  </si>
  <si>
    <t xml:space="preserve">Role-dependent</t>
  </si>
  <si>
    <t xml:space="preserve">text.competency_coverage</t>
  </si>
  <si>
    <t xml:space="preserve">Competency coverage</t>
  </si>
  <si>
    <t xml:space="preserve">0.0-1.0 vs. rubric</t>
  </si>
  <si>
    <t xml:space="preserve">Overlap between the answer and the competency's rubric language</t>
  </si>
  <si>
    <t xml:space="preserve">Rewards rehearsed keyword use; needs semantic not lexical matching</t>
  </si>
  <si>
    <t xml:space="preserve">text.pronoun_i_we_ratio</t>
  </si>
  <si>
    <t xml:space="preserve">I / we ratio</t>
  </si>
  <si>
    <t xml:space="preserve">ratio</t>
  </si>
  <si>
    <t xml:space="preserve">Individual vs. collective framing of contribution</t>
  </si>
  <si>
    <t xml:space="preserve">Culturally loaded — collectivist framing is not lower ownership</t>
  </si>
  <si>
    <t xml:space="preserve">text.hedging_density</t>
  </si>
  <si>
    <t xml:space="preserve">Hedging density</t>
  </si>
  <si>
    <t xml:space="preserve">hedges / 100 words</t>
  </si>
  <si>
    <t xml:space="preserve">maybe, sort of, I think — tentativeness of assertion</t>
  </si>
  <si>
    <t xml:space="preserve">Politeness register, and appropriate epistemic caution, both raise it</t>
  </si>
  <si>
    <t xml:space="preserve">text.answer_relevance</t>
  </si>
  <si>
    <t xml:space="preserve">Answer relevance</t>
  </si>
  <si>
    <t xml:space="preserve">Semantic match between the answer and the question asked</t>
  </si>
  <si>
    <t xml:space="preserve">Requires a good embedding model and a defined question set</t>
  </si>
  <si>
    <t xml:space="preserve">quality.face_detected</t>
  </si>
  <si>
    <t xml:space="preserve">F1 Capture quality</t>
  </si>
  <si>
    <t xml:space="preserve">Face detected</t>
  </si>
  <si>
    <t xml:space="preserve">0 or 1</t>
  </si>
  <si>
    <t xml:space="preserve">Whether a face was found in this frame</t>
  </si>
  <si>
    <t xml:space="preserve">Gates every Group A and C value</t>
  </si>
  <si>
    <t xml:space="preserve">quality.face_visibility_ratio</t>
  </si>
  <si>
    <t xml:space="preserve">Face visibility</t>
  </si>
  <si>
    <t xml:space="preserve">0.0-1.0 over window</t>
  </si>
  <si>
    <t xml:space="preserve">Fraction of frames with a face. Below 0.6 the session is not analysable</t>
  </si>
  <si>
    <t xml:space="preserve">The primary go/no-go gate</t>
  </si>
  <si>
    <t xml:space="preserve">quality.illumination_mean</t>
  </si>
  <si>
    <t xml:space="preserve">Illumination level</t>
  </si>
  <si>
    <t xml:space="preserve">0-255</t>
  </si>
  <si>
    <t xml:space="preserve">Mean luminance over the face region</t>
  </si>
  <si>
    <t xml:space="preserve">Backlighting is the common failure</t>
  </si>
  <si>
    <t xml:space="preserve">quality.illumination_stability</t>
  </si>
  <si>
    <t xml:space="preserve">Illumination stability</t>
  </si>
  <si>
    <t xml:space="preserve">SD over 10 s</t>
  </si>
  <si>
    <t xml:space="preserve">Lighting flicker. Instability corrupts rPPG directly</t>
  </si>
  <si>
    <t xml:space="preserve">Screen glow changes colour as the interviewer's video changes</t>
  </si>
  <si>
    <t xml:space="preserve">quality.frame_drop_rate</t>
  </si>
  <si>
    <t xml:space="preserve">Frame drop rate</t>
  </si>
  <si>
    <t xml:space="preserve">dropped/s</t>
  </si>
  <si>
    <t xml:space="preserve">Capture gaps. Above ~10% the rPPG window is no longer uniformly sampled</t>
  </si>
  <si>
    <t xml:space="preserve">CPU contention and network</t>
  </si>
  <si>
    <t xml:space="preserve">quality.resolution</t>
  </si>
  <si>
    <t xml:space="preserve">Capture resolution</t>
  </si>
  <si>
    <t xml:space="preserve">pixels</t>
  </si>
  <si>
    <t xml:space="preserve">Face bounding-box size in pixels; small faces degrade AU detection</t>
  </si>
  <si>
    <t xml:space="preserve">Sitting distance</t>
  </si>
  <si>
    <t xml:space="preserve">quality.audio_snr</t>
  </si>
  <si>
    <t xml:space="preserve">Audio SNR</t>
  </si>
  <si>
    <t xml:space="preserve">Speech-to-background ratio. Below ~15 dB, voice-quality features are noise</t>
  </si>
  <si>
    <t xml:space="preserve">Open-plan rooms, fans, traffic</t>
  </si>
  <si>
    <t xml:space="preserve">quality.network_jitter</t>
  </si>
  <si>
    <t xml:space="preserve">Network jitter</t>
  </si>
  <si>
    <t xml:space="preserve">ms</t>
  </si>
  <si>
    <t xml:space="preserve">Needed to separate real response latency from transport delay</t>
  </si>
  <si>
    <t xml:space="preserve">Must be logged or latency features are meaningless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</si>
</sst>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4D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2"/>
      <color rgb="FF1F3A4D"/>
      <name val="Arial"/>
      <family val="0"/>
      <charset val="1"/>
    </font>
    <font>
      <b val="true"/>
      <sz val="11"/>
      <color rgb="FF1F1F1F"/>
      <name val="Arial"/>
      <family val="0"/>
      <charset val="1"/>
    </font>
    <font>
      <b val="true"/>
      <sz val="15"/>
      <color rgb="FF1F3A4D"/>
      <name val="Arial"/>
      <family val="0"/>
      <charset val="1"/>
    </font>
    <font>
      <i val="true"/>
      <sz val="9.5"/>
      <color rgb="FF5A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Consolas"/>
      <family val="0"/>
      <charset val="1"/>
    </font>
    <font>
      <sz val="9.5"/>
      <name val="Arial"/>
      <family val="0"/>
      <charset val="1"/>
    </font>
    <font>
      <b val="true"/>
      <sz val="9.5"/>
      <color rgb="FF146B51"/>
      <name val="Arial"/>
      <family val="0"/>
      <charset val="1"/>
    </font>
    <font>
      <sz val="9.5"/>
      <color rgb="FF146B51"/>
      <name val="Arial"/>
      <family val="0"/>
      <charset val="1"/>
    </font>
    <font>
      <b val="true"/>
      <sz val="9.5"/>
      <color rgb="FF8C5A06"/>
      <name val="Arial"/>
      <family val="0"/>
      <charset val="1"/>
    </font>
    <font>
      <sz val="9.5"/>
      <color rgb="FF8C5A06"/>
      <name val="Arial"/>
      <family val="0"/>
      <charset val="1"/>
    </font>
    <font>
      <b val="true"/>
      <sz val="9.5"/>
      <color rgb="FF9D3628"/>
      <name val="Arial"/>
      <family val="0"/>
      <charset val="1"/>
    </font>
    <font>
      <sz val="9.5"/>
      <color rgb="FF9D362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E3F0EB"/>
        <bgColor rgb="FFF5ECE0"/>
      </patternFill>
    </fill>
    <fill>
      <patternFill patternType="solid">
        <fgColor rgb="FFF5ECE0"/>
        <bgColor rgb="FFF6E6E3"/>
      </patternFill>
    </fill>
    <fill>
      <patternFill patternType="solid">
        <fgColor rgb="FFF6E6E3"/>
        <bgColor rgb="FFF5EC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A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0EB"/>
          <bgColor rgb="FF000000"/>
        </patternFill>
      </fill>
    </dxf>
    <dxf>
      <fill>
        <patternFill patternType="solid">
          <fgColor rgb="FFF5ECE0"/>
          <bgColor rgb="FF000000"/>
        </patternFill>
      </fill>
    </dxf>
    <dxf>
      <fill>
        <patternFill patternType="solid">
          <fgColor rgb="FFF6E6E3"/>
          <bgColor rgb="FF000000"/>
        </patternFill>
      </fill>
    </dxf>
    <dxf>
      <fill>
        <patternFill patternType="solid">
          <fgColor rgb="FF146B51"/>
          <bgColor rgb="FF000000"/>
        </patternFill>
      </fill>
    </dxf>
    <dxf>
      <fill>
        <patternFill patternType="solid">
          <fgColor rgb="FF8C5A06"/>
          <bgColor rgb="FF000000"/>
        </patternFill>
      </fill>
    </dxf>
    <dxf>
      <fill>
        <patternFill patternType="solid">
          <fgColor rgb="FF9D362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5A06"/>
      <rgbColor rgb="FF800080"/>
      <rgbColor rgb="FF146B51"/>
      <rgbColor rgb="FFC0C0C0"/>
      <rgbColor rgb="FF808080"/>
      <rgbColor rgb="FF9999FF"/>
      <rgbColor rgb="FF993366"/>
      <rgbColor rgb="FFF5ECE0"/>
      <rgbColor rgb="FFE3F0EB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6E6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672"/>
      <rgbColor rgb="FF969696"/>
      <rgbColor rgb="FF003366"/>
      <rgbColor rgb="FF339966"/>
      <rgbColor rgb="FF003300"/>
      <rgbColor rgb="FF1F1F1F"/>
      <rgbColor rgb="FF9D3628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31.5" hidden="false" customHeight="true" outlineLevel="0" collapsed="false">
      <c r="B6" s="2" t="s">
        <v>3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4" t="s">
        <v>4</v>
      </c>
    </row>
    <row r="9" customFormat="false" ht="15" hidden="false" customHeight="false" outlineLevel="0" collapsed="false">
      <c r="B9" s="2" t="s">
        <v>5</v>
      </c>
    </row>
    <row r="10" customFormat="false" ht="23.8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4" t="s">
        <v>8</v>
      </c>
    </row>
    <row r="14" customFormat="false" ht="15" hidden="false" customHeight="false" outlineLevel="0" collapsed="false">
      <c r="B14" s="2" t="s">
        <v>9</v>
      </c>
    </row>
    <row r="15" customFormat="false" ht="15" hidden="false" customHeight="false" outlineLevel="0" collapsed="false">
      <c r="B15" s="2" t="s">
        <v>10</v>
      </c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2"/>
    </row>
    <row r="18" customFormat="false" ht="23.85" hidden="false" customHeight="false" outlineLevel="0" collapsed="false">
      <c r="B18" s="2" t="s">
        <v>12</v>
      </c>
    </row>
    <row r="19" customFormat="false" ht="31.5" hidden="false" customHeight="true" outlineLevel="0" collapsed="false">
      <c r="B19" s="2"/>
    </row>
    <row r="20" customFormat="false" ht="15" hidden="false" customHeight="false" outlineLevel="0" collapsed="false">
      <c r="B20" s="3" t="s">
        <v>13</v>
      </c>
    </row>
    <row r="21" customFormat="false" ht="15" hidden="false" customHeight="false" outlineLevel="0" collapsed="false">
      <c r="B21" s="2" t="s">
        <v>14</v>
      </c>
    </row>
    <row r="23" customFormat="false" ht="31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4" min="3" style="0" width="11"/>
  </cols>
  <sheetData>
    <row r="2" customFormat="false" ht="18.55" hidden="false" customHeight="false" outlineLevel="0" collapsed="false">
      <c r="B2" s="5" t="s">
        <v>15</v>
      </c>
    </row>
    <row r="3" customFormat="false" ht="15" hidden="false" customHeight="false" outlineLevel="0" collapsed="false">
      <c r="B3" s="6" t="s">
        <v>16</v>
      </c>
    </row>
    <row r="5" customFormat="false" ht="15" hidden="false" customHeight="false" outlineLevel="0" collapsed="false">
      <c r="B5" s="7" t="s">
        <v>17</v>
      </c>
    </row>
    <row r="6" customFormat="false" ht="15" hidden="false" customHeight="false" outlineLevel="0" collapsed="false">
      <c r="B6" s="8" t="s">
        <v>18</v>
      </c>
      <c r="C6" s="8" t="s">
        <v>19</v>
      </c>
      <c r="D6" s="8" t="s">
        <v>20</v>
      </c>
    </row>
    <row r="7" customFormat="false" ht="15" hidden="false" customHeight="false" outlineLevel="0" collapsed="false">
      <c r="B7" s="9" t="s">
        <v>21</v>
      </c>
      <c r="C7" s="10" t="n">
        <f aca="false">COUNTIF(Parameters!$B$2:$B$156,$B7)</f>
        <v>102</v>
      </c>
      <c r="D7" s="11" t="n">
        <f aca="false">IFERROR(C7/$C$13,0)</f>
        <v>0.658064516129032</v>
      </c>
    </row>
    <row r="8" customFormat="false" ht="15" hidden="false" customHeight="false" outlineLevel="0" collapsed="false">
      <c r="B8" s="9" t="s">
        <v>22</v>
      </c>
      <c r="C8" s="10" t="n">
        <f aca="false">COUNTIF(Parameters!$B$2:$B$156,$B8)</f>
        <v>11</v>
      </c>
      <c r="D8" s="11" t="n">
        <f aca="false">IFERROR(C8/$C$13,0)</f>
        <v>0.0709677419354839</v>
      </c>
    </row>
    <row r="9" customFormat="false" ht="15" hidden="false" customHeight="false" outlineLevel="0" collapsed="false">
      <c r="B9" s="9" t="s">
        <v>23</v>
      </c>
      <c r="C9" s="10" t="n">
        <f aca="false">COUNTIF(Parameters!$B$2:$B$156,$B9)</f>
        <v>8</v>
      </c>
      <c r="D9" s="11" t="n">
        <f aca="false">IFERROR(C9/$C$13,0)</f>
        <v>0.0516129032258065</v>
      </c>
    </row>
    <row r="10" customFormat="false" ht="15" hidden="false" customHeight="false" outlineLevel="0" collapsed="false">
      <c r="B10" s="9" t="s">
        <v>24</v>
      </c>
      <c r="C10" s="10" t="n">
        <f aca="false">COUNTIF(Parameters!$B$2:$B$156,$B10)</f>
        <v>19</v>
      </c>
      <c r="D10" s="11" t="n">
        <f aca="false">IFERROR(C10/$C$13,0)</f>
        <v>0.12258064516129</v>
      </c>
    </row>
    <row r="11" customFormat="false" ht="15" hidden="false" customHeight="false" outlineLevel="0" collapsed="false">
      <c r="B11" s="9" t="s">
        <v>25</v>
      </c>
      <c r="C11" s="10" t="n">
        <f aca="false">COUNTIF(Parameters!$B$2:$B$156,$B11)</f>
        <v>7</v>
      </c>
      <c r="D11" s="11" t="n">
        <f aca="false">IFERROR(C11/$C$13,0)</f>
        <v>0.0451612903225806</v>
      </c>
    </row>
    <row r="12" customFormat="false" ht="15" hidden="false" customHeight="false" outlineLevel="0" collapsed="false">
      <c r="B12" s="9" t="s">
        <v>26</v>
      </c>
      <c r="C12" s="10" t="n">
        <f aca="false">COUNTIF(Parameters!$B$2:$B$156,$B12)</f>
        <v>8</v>
      </c>
      <c r="D12" s="11" t="n">
        <f aca="false">IFERROR(C12/$C$13,0)</f>
        <v>0.0516129032258065</v>
      </c>
    </row>
    <row r="13" customFormat="false" ht="15" hidden="false" customHeight="false" outlineLevel="0" collapsed="false">
      <c r="B13" s="12" t="s">
        <v>27</v>
      </c>
      <c r="C13" s="13" t="n">
        <f aca="false">SUM(C7:C12)</f>
        <v>155</v>
      </c>
    </row>
    <row r="15" customFormat="false" ht="15" hidden="false" customHeight="false" outlineLevel="0" collapsed="false">
      <c r="B15" s="7" t="s">
        <v>28</v>
      </c>
    </row>
    <row r="16" customFormat="false" ht="15" hidden="false" customHeight="false" outlineLevel="0" collapsed="false">
      <c r="B16" s="8" t="s">
        <v>29</v>
      </c>
      <c r="C16" s="8" t="s">
        <v>19</v>
      </c>
      <c r="D16" s="8" t="s">
        <v>20</v>
      </c>
    </row>
    <row r="17" customFormat="false" ht="15" hidden="false" customHeight="false" outlineLevel="0" collapsed="false">
      <c r="B17" s="9" t="s">
        <v>30</v>
      </c>
      <c r="C17" s="10" t="n">
        <f aca="false">COUNTIF(Parameters!$H$2:$H$156,$B17)</f>
        <v>129</v>
      </c>
      <c r="D17" s="11" t="n">
        <f aca="false">IFERROR(C17/$C$20,0)</f>
        <v>0.832258064516129</v>
      </c>
    </row>
    <row r="18" customFormat="false" ht="15" hidden="false" customHeight="false" outlineLevel="0" collapsed="false">
      <c r="B18" s="9" t="s">
        <v>31</v>
      </c>
      <c r="C18" s="10" t="n">
        <f aca="false">COUNTIF(Parameters!$H$2:$H$156,$B18)</f>
        <v>23</v>
      </c>
      <c r="D18" s="11" t="n">
        <f aca="false">IFERROR(C18/$C$20,0)</f>
        <v>0.148387096774194</v>
      </c>
    </row>
    <row r="19" customFormat="false" ht="15" hidden="false" customHeight="false" outlineLevel="0" collapsed="false">
      <c r="B19" s="9" t="s">
        <v>32</v>
      </c>
      <c r="C19" s="10" t="n">
        <f aca="false">COUNTIF(Parameters!$H$2:$H$156,$B19)</f>
        <v>3</v>
      </c>
      <c r="D19" s="11" t="n">
        <f aca="false">IFERROR(C19/$C$20,0)</f>
        <v>0.0193548387096774</v>
      </c>
    </row>
    <row r="20" customFormat="false" ht="15" hidden="false" customHeight="false" outlineLevel="0" collapsed="false">
      <c r="B20" s="12" t="s">
        <v>27</v>
      </c>
      <c r="C20" s="13" t="n">
        <f aca="false">SUM(C17:C19)</f>
        <v>155</v>
      </c>
    </row>
    <row r="22" customFormat="false" ht="15" hidden="false" customHeight="false" outlineLevel="0" collapsed="false">
      <c r="B22" s="7" t="s">
        <v>33</v>
      </c>
    </row>
    <row r="23" customFormat="false" ht="15" hidden="false" customHeight="false" outlineLevel="0" collapsed="false">
      <c r="B23" s="8" t="s">
        <v>34</v>
      </c>
      <c r="C23" s="8" t="s">
        <v>19</v>
      </c>
      <c r="D23" s="8" t="s">
        <v>20</v>
      </c>
    </row>
    <row r="24" customFormat="false" ht="15" hidden="false" customHeight="false" outlineLevel="0" collapsed="false">
      <c r="B24" s="9" t="s">
        <v>35</v>
      </c>
      <c r="C24" s="10" t="n">
        <f aca="false">COUNTIF(Parameters!$I$2:$I$156,$B24)</f>
        <v>114</v>
      </c>
      <c r="D24" s="11" t="n">
        <f aca="false">IFERROR(C24/$C$28,0)</f>
        <v>0.735483870967742</v>
      </c>
    </row>
    <row r="25" customFormat="false" ht="15" hidden="false" customHeight="false" outlineLevel="0" collapsed="false">
      <c r="B25" s="9" t="s">
        <v>36</v>
      </c>
      <c r="C25" s="10" t="n">
        <f aca="false">COUNTIF(Parameters!$I$2:$I$156,$B25)</f>
        <v>36</v>
      </c>
      <c r="D25" s="11" t="n">
        <f aca="false">IFERROR(C25/$C$28,0)</f>
        <v>0.232258064516129</v>
      </c>
    </row>
    <row r="26" customFormat="false" ht="15" hidden="false" customHeight="false" outlineLevel="0" collapsed="false">
      <c r="B26" s="9" t="s">
        <v>37</v>
      </c>
      <c r="C26" s="10" t="n">
        <f aca="false">COUNTIF(Parameters!$I$2:$I$156,$B26)</f>
        <v>2</v>
      </c>
      <c r="D26" s="11" t="n">
        <f aca="false">IFERROR(C26/$C$28,0)</f>
        <v>0.0129032258064516</v>
      </c>
    </row>
    <row r="27" customFormat="false" ht="15" hidden="false" customHeight="false" outlineLevel="0" collapsed="false">
      <c r="B27" s="9" t="s">
        <v>38</v>
      </c>
      <c r="C27" s="10" t="n">
        <f aca="false">COUNTIF(Parameters!$I$2:$I$156,$B27)</f>
        <v>3</v>
      </c>
      <c r="D27" s="11" t="n">
        <f aca="false">IFERROR(C27/$C$28,0)</f>
        <v>0.0193548387096774</v>
      </c>
    </row>
    <row r="28" customFormat="false" ht="15" hidden="false" customHeight="false" outlineLevel="0" collapsed="false">
      <c r="B28" s="12" t="s">
        <v>27</v>
      </c>
      <c r="C28" s="13" t="n">
        <f aca="false">SUM(C24:C27)</f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1" min="10" style="0" width="62"/>
  </cols>
  <sheetData>
    <row r="1" customFormat="false" ht="30" hidden="false" customHeight="true" outlineLevel="0" collapsed="false">
      <c r="A1" s="14" t="s">
        <v>39</v>
      </c>
      <c r="B1" s="14" t="s">
        <v>18</v>
      </c>
      <c r="C1" s="14" t="s">
        <v>40</v>
      </c>
      <c r="D1" s="14" t="s">
        <v>41</v>
      </c>
      <c r="E1" s="14" t="s">
        <v>42</v>
      </c>
      <c r="F1" s="14" t="s">
        <v>43</v>
      </c>
      <c r="G1" s="14" t="s">
        <v>44</v>
      </c>
      <c r="H1" s="14" t="s">
        <v>29</v>
      </c>
      <c r="I1" s="14" t="s">
        <v>34</v>
      </c>
      <c r="J1" s="14" t="s">
        <v>45</v>
      </c>
      <c r="K1" s="14" t="s">
        <v>46</v>
      </c>
    </row>
    <row r="2" customFormat="false" ht="15" hidden="false" customHeight="false" outlineLevel="0" collapsed="false">
      <c r="A2" s="15" t="s">
        <v>47</v>
      </c>
      <c r="B2" s="16" t="s">
        <v>21</v>
      </c>
      <c r="C2" s="16" t="s">
        <v>48</v>
      </c>
      <c r="D2" s="16" t="s">
        <v>49</v>
      </c>
      <c r="E2" s="16" t="s">
        <v>50</v>
      </c>
      <c r="F2" s="16" t="s">
        <v>51</v>
      </c>
      <c r="G2" s="17" t="n">
        <v>30</v>
      </c>
      <c r="H2" s="18" t="s">
        <v>30</v>
      </c>
      <c r="I2" s="19" t="s">
        <v>35</v>
      </c>
      <c r="J2" s="20" t="s">
        <v>52</v>
      </c>
      <c r="K2" s="20" t="s">
        <v>53</v>
      </c>
    </row>
    <row r="3" customFormat="false" ht="15" hidden="false" customHeight="false" outlineLevel="0" collapsed="false">
      <c r="A3" s="15" t="s">
        <v>54</v>
      </c>
      <c r="B3" s="16" t="s">
        <v>21</v>
      </c>
      <c r="C3" s="16" t="s">
        <v>48</v>
      </c>
      <c r="D3" s="16" t="s">
        <v>55</v>
      </c>
      <c r="E3" s="16" t="s">
        <v>50</v>
      </c>
      <c r="F3" s="16" t="s">
        <v>51</v>
      </c>
      <c r="G3" s="17" t="n">
        <v>30</v>
      </c>
      <c r="H3" s="18" t="s">
        <v>30</v>
      </c>
      <c r="I3" s="19" t="s">
        <v>35</v>
      </c>
      <c r="J3" s="20" t="s">
        <v>56</v>
      </c>
      <c r="K3" s="20" t="s">
        <v>57</v>
      </c>
    </row>
    <row r="4" customFormat="false" ht="15" hidden="false" customHeight="false" outlineLevel="0" collapsed="false">
      <c r="A4" s="15" t="s">
        <v>58</v>
      </c>
      <c r="B4" s="16" t="s">
        <v>21</v>
      </c>
      <c r="C4" s="16" t="s">
        <v>48</v>
      </c>
      <c r="D4" s="16" t="s">
        <v>59</v>
      </c>
      <c r="E4" s="16" t="s">
        <v>50</v>
      </c>
      <c r="F4" s="16" t="s">
        <v>60</v>
      </c>
      <c r="G4" s="17" t="n">
        <v>30</v>
      </c>
      <c r="H4" s="18" t="s">
        <v>30</v>
      </c>
      <c r="I4" s="19" t="s">
        <v>35</v>
      </c>
      <c r="J4" s="20" t="s">
        <v>61</v>
      </c>
      <c r="K4" s="20" t="s">
        <v>57</v>
      </c>
    </row>
    <row r="5" customFormat="false" ht="15" hidden="false" customHeight="false" outlineLevel="0" collapsed="false">
      <c r="A5" s="15" t="s">
        <v>62</v>
      </c>
      <c r="B5" s="16" t="s">
        <v>21</v>
      </c>
      <c r="C5" s="16" t="s">
        <v>48</v>
      </c>
      <c r="D5" s="16" t="s">
        <v>63</v>
      </c>
      <c r="E5" s="16" t="s">
        <v>50</v>
      </c>
      <c r="F5" s="16" t="s">
        <v>60</v>
      </c>
      <c r="G5" s="17" t="n">
        <v>30</v>
      </c>
      <c r="H5" s="18" t="s">
        <v>30</v>
      </c>
      <c r="I5" s="19" t="s">
        <v>35</v>
      </c>
      <c r="J5" s="20" t="s">
        <v>64</v>
      </c>
      <c r="K5" s="20" t="s">
        <v>57</v>
      </c>
    </row>
    <row r="6" customFormat="false" ht="23.85" hidden="false" customHeight="false" outlineLevel="0" collapsed="false">
      <c r="A6" s="15" t="s">
        <v>65</v>
      </c>
      <c r="B6" s="16" t="s">
        <v>21</v>
      </c>
      <c r="C6" s="16" t="s">
        <v>66</v>
      </c>
      <c r="D6" s="16" t="s">
        <v>67</v>
      </c>
      <c r="E6" s="16" t="s">
        <v>68</v>
      </c>
      <c r="F6" s="16" t="s">
        <v>69</v>
      </c>
      <c r="G6" s="17" t="n">
        <v>30</v>
      </c>
      <c r="H6" s="21" t="s">
        <v>31</v>
      </c>
      <c r="I6" s="19" t="s">
        <v>35</v>
      </c>
      <c r="J6" s="20" t="s">
        <v>70</v>
      </c>
      <c r="K6" s="20" t="s">
        <v>71</v>
      </c>
    </row>
    <row r="7" customFormat="false" ht="15" hidden="false" customHeight="false" outlineLevel="0" collapsed="false">
      <c r="A7" s="15" t="s">
        <v>72</v>
      </c>
      <c r="B7" s="16" t="s">
        <v>21</v>
      </c>
      <c r="C7" s="16" t="s">
        <v>48</v>
      </c>
      <c r="D7" s="16" t="s">
        <v>73</v>
      </c>
      <c r="E7" s="16" t="s">
        <v>50</v>
      </c>
      <c r="F7" s="16" t="s">
        <v>51</v>
      </c>
      <c r="G7" s="17" t="n">
        <v>30</v>
      </c>
      <c r="H7" s="18" t="s">
        <v>30</v>
      </c>
      <c r="I7" s="19" t="s">
        <v>35</v>
      </c>
      <c r="J7" s="20" t="s">
        <v>74</v>
      </c>
      <c r="K7" s="20" t="s">
        <v>75</v>
      </c>
    </row>
    <row r="8" customFormat="false" ht="15" hidden="false" customHeight="false" outlineLevel="0" collapsed="false">
      <c r="A8" s="15" t="s">
        <v>76</v>
      </c>
      <c r="B8" s="16" t="s">
        <v>21</v>
      </c>
      <c r="C8" s="16" t="s">
        <v>48</v>
      </c>
      <c r="D8" s="16" t="s">
        <v>77</v>
      </c>
      <c r="E8" s="16" t="s">
        <v>50</v>
      </c>
      <c r="F8" s="16" t="s">
        <v>60</v>
      </c>
      <c r="G8" s="17" t="n">
        <v>30</v>
      </c>
      <c r="H8" s="18" t="s">
        <v>30</v>
      </c>
      <c r="I8" s="19" t="s">
        <v>35</v>
      </c>
      <c r="J8" s="20" t="s">
        <v>61</v>
      </c>
      <c r="K8" s="20" t="s">
        <v>75</v>
      </c>
    </row>
    <row r="9" customFormat="false" ht="15" hidden="false" customHeight="false" outlineLevel="0" collapsed="false">
      <c r="A9" s="15" t="s">
        <v>78</v>
      </c>
      <c r="B9" s="16" t="s">
        <v>21</v>
      </c>
      <c r="C9" s="16" t="s">
        <v>48</v>
      </c>
      <c r="D9" s="16" t="s">
        <v>79</v>
      </c>
      <c r="E9" s="16" t="s">
        <v>50</v>
      </c>
      <c r="F9" s="16" t="s">
        <v>60</v>
      </c>
      <c r="G9" s="17" t="n">
        <v>30</v>
      </c>
      <c r="H9" s="18" t="s">
        <v>30</v>
      </c>
      <c r="I9" s="19" t="s">
        <v>35</v>
      </c>
      <c r="J9" s="20" t="s">
        <v>64</v>
      </c>
      <c r="K9" s="20" t="s">
        <v>75</v>
      </c>
    </row>
    <row r="10" customFormat="false" ht="23.85" hidden="false" customHeight="false" outlineLevel="0" collapsed="false">
      <c r="A10" s="15" t="s">
        <v>80</v>
      </c>
      <c r="B10" s="16" t="s">
        <v>21</v>
      </c>
      <c r="C10" s="16" t="s">
        <v>66</v>
      </c>
      <c r="D10" s="16" t="s">
        <v>81</v>
      </c>
      <c r="E10" s="16" t="s">
        <v>68</v>
      </c>
      <c r="F10" s="16" t="s">
        <v>69</v>
      </c>
      <c r="G10" s="17" t="n">
        <v>30</v>
      </c>
      <c r="H10" s="21" t="s">
        <v>31</v>
      </c>
      <c r="I10" s="19" t="s">
        <v>35</v>
      </c>
      <c r="J10" s="20" t="s">
        <v>70</v>
      </c>
      <c r="K10" s="20" t="s">
        <v>71</v>
      </c>
    </row>
    <row r="11" customFormat="false" ht="15" hidden="false" customHeight="false" outlineLevel="0" collapsed="false">
      <c r="A11" s="15" t="s">
        <v>82</v>
      </c>
      <c r="B11" s="16" t="s">
        <v>21</v>
      </c>
      <c r="C11" s="16" t="s">
        <v>83</v>
      </c>
      <c r="D11" s="16" t="s">
        <v>84</v>
      </c>
      <c r="E11" s="16" t="s">
        <v>50</v>
      </c>
      <c r="F11" s="16" t="s">
        <v>51</v>
      </c>
      <c r="G11" s="17" t="n">
        <v>30</v>
      </c>
      <c r="H11" s="18" t="s">
        <v>30</v>
      </c>
      <c r="I11" s="19" t="s">
        <v>35</v>
      </c>
      <c r="J11" s="20" t="s">
        <v>85</v>
      </c>
      <c r="K11" s="20" t="s">
        <v>86</v>
      </c>
    </row>
    <row r="12" customFormat="false" ht="15" hidden="false" customHeight="false" outlineLevel="0" collapsed="false">
      <c r="A12" s="15" t="s">
        <v>87</v>
      </c>
      <c r="B12" s="16" t="s">
        <v>21</v>
      </c>
      <c r="C12" s="16" t="s">
        <v>83</v>
      </c>
      <c r="D12" s="16" t="s">
        <v>88</v>
      </c>
      <c r="E12" s="16" t="s">
        <v>50</v>
      </c>
      <c r="F12" s="16" t="s">
        <v>60</v>
      </c>
      <c r="G12" s="17" t="n">
        <v>30</v>
      </c>
      <c r="H12" s="18" t="s">
        <v>30</v>
      </c>
      <c r="I12" s="19" t="s">
        <v>35</v>
      </c>
      <c r="J12" s="20" t="s">
        <v>61</v>
      </c>
      <c r="K12" s="20" t="s">
        <v>86</v>
      </c>
    </row>
    <row r="13" customFormat="false" ht="15" hidden="false" customHeight="false" outlineLevel="0" collapsed="false">
      <c r="A13" s="15" t="s">
        <v>89</v>
      </c>
      <c r="B13" s="16" t="s">
        <v>21</v>
      </c>
      <c r="C13" s="16" t="s">
        <v>83</v>
      </c>
      <c r="D13" s="16" t="s">
        <v>90</v>
      </c>
      <c r="E13" s="16" t="s">
        <v>50</v>
      </c>
      <c r="F13" s="16" t="s">
        <v>60</v>
      </c>
      <c r="G13" s="17" t="n">
        <v>30</v>
      </c>
      <c r="H13" s="18" t="s">
        <v>30</v>
      </c>
      <c r="I13" s="19" t="s">
        <v>35</v>
      </c>
      <c r="J13" s="20" t="s">
        <v>64</v>
      </c>
      <c r="K13" s="20" t="s">
        <v>86</v>
      </c>
    </row>
    <row r="14" customFormat="false" ht="23.85" hidden="false" customHeight="false" outlineLevel="0" collapsed="false">
      <c r="A14" s="15" t="s">
        <v>91</v>
      </c>
      <c r="B14" s="16" t="s">
        <v>21</v>
      </c>
      <c r="C14" s="16" t="s">
        <v>66</v>
      </c>
      <c r="D14" s="16" t="s">
        <v>92</v>
      </c>
      <c r="E14" s="16" t="s">
        <v>68</v>
      </c>
      <c r="F14" s="16" t="s">
        <v>69</v>
      </c>
      <c r="G14" s="17" t="n">
        <v>30</v>
      </c>
      <c r="H14" s="21" t="s">
        <v>31</v>
      </c>
      <c r="I14" s="19" t="s">
        <v>35</v>
      </c>
      <c r="J14" s="20" t="s">
        <v>70</v>
      </c>
      <c r="K14" s="20" t="s">
        <v>71</v>
      </c>
    </row>
    <row r="15" customFormat="false" ht="15" hidden="false" customHeight="false" outlineLevel="0" collapsed="false">
      <c r="A15" s="15" t="s">
        <v>93</v>
      </c>
      <c r="B15" s="16" t="s">
        <v>21</v>
      </c>
      <c r="C15" s="16" t="s">
        <v>83</v>
      </c>
      <c r="D15" s="16" t="s">
        <v>94</v>
      </c>
      <c r="E15" s="16" t="s">
        <v>50</v>
      </c>
      <c r="F15" s="16" t="s">
        <v>51</v>
      </c>
      <c r="G15" s="17" t="n">
        <v>30</v>
      </c>
      <c r="H15" s="18" t="s">
        <v>30</v>
      </c>
      <c r="I15" s="19" t="s">
        <v>35</v>
      </c>
      <c r="J15" s="20" t="s">
        <v>95</v>
      </c>
      <c r="K15" s="20" t="s">
        <v>96</v>
      </c>
    </row>
    <row r="16" customFormat="false" ht="15" hidden="false" customHeight="false" outlineLevel="0" collapsed="false">
      <c r="A16" s="15" t="s">
        <v>97</v>
      </c>
      <c r="B16" s="16" t="s">
        <v>21</v>
      </c>
      <c r="C16" s="16" t="s">
        <v>83</v>
      </c>
      <c r="D16" s="16" t="s">
        <v>98</v>
      </c>
      <c r="E16" s="16" t="s">
        <v>50</v>
      </c>
      <c r="F16" s="16" t="s">
        <v>60</v>
      </c>
      <c r="G16" s="17" t="n">
        <v>30</v>
      </c>
      <c r="H16" s="18" t="s">
        <v>30</v>
      </c>
      <c r="I16" s="19" t="s">
        <v>35</v>
      </c>
      <c r="J16" s="20" t="s">
        <v>61</v>
      </c>
      <c r="K16" s="20" t="s">
        <v>96</v>
      </c>
    </row>
    <row r="17" customFormat="false" ht="15" hidden="false" customHeight="false" outlineLevel="0" collapsed="false">
      <c r="A17" s="15" t="s">
        <v>99</v>
      </c>
      <c r="B17" s="16" t="s">
        <v>21</v>
      </c>
      <c r="C17" s="16" t="s">
        <v>83</v>
      </c>
      <c r="D17" s="16" t="s">
        <v>100</v>
      </c>
      <c r="E17" s="16" t="s">
        <v>50</v>
      </c>
      <c r="F17" s="16" t="s">
        <v>60</v>
      </c>
      <c r="G17" s="17" t="n">
        <v>30</v>
      </c>
      <c r="H17" s="18" t="s">
        <v>30</v>
      </c>
      <c r="I17" s="19" t="s">
        <v>35</v>
      </c>
      <c r="J17" s="20" t="s">
        <v>64</v>
      </c>
      <c r="K17" s="20" t="s">
        <v>96</v>
      </c>
    </row>
    <row r="18" customFormat="false" ht="23.85" hidden="false" customHeight="false" outlineLevel="0" collapsed="false">
      <c r="A18" s="15" t="s">
        <v>101</v>
      </c>
      <c r="B18" s="16" t="s">
        <v>21</v>
      </c>
      <c r="C18" s="16" t="s">
        <v>66</v>
      </c>
      <c r="D18" s="16" t="s">
        <v>102</v>
      </c>
      <c r="E18" s="16" t="s">
        <v>68</v>
      </c>
      <c r="F18" s="16" t="s">
        <v>69</v>
      </c>
      <c r="G18" s="17" t="n">
        <v>30</v>
      </c>
      <c r="H18" s="21" t="s">
        <v>31</v>
      </c>
      <c r="I18" s="19" t="s">
        <v>35</v>
      </c>
      <c r="J18" s="20" t="s">
        <v>70</v>
      </c>
      <c r="K18" s="20" t="s">
        <v>71</v>
      </c>
    </row>
    <row r="19" customFormat="false" ht="15" hidden="false" customHeight="false" outlineLevel="0" collapsed="false">
      <c r="A19" s="15" t="s">
        <v>103</v>
      </c>
      <c r="B19" s="16" t="s">
        <v>21</v>
      </c>
      <c r="C19" s="16" t="s">
        <v>83</v>
      </c>
      <c r="D19" s="16" t="s">
        <v>104</v>
      </c>
      <c r="E19" s="16" t="s">
        <v>50</v>
      </c>
      <c r="F19" s="16" t="s">
        <v>51</v>
      </c>
      <c r="G19" s="17" t="n">
        <v>30</v>
      </c>
      <c r="H19" s="18" t="s">
        <v>30</v>
      </c>
      <c r="I19" s="19" t="s">
        <v>35</v>
      </c>
      <c r="J19" s="20" t="s">
        <v>105</v>
      </c>
      <c r="K19" s="20" t="s">
        <v>106</v>
      </c>
    </row>
    <row r="20" customFormat="false" ht="15" hidden="false" customHeight="false" outlineLevel="0" collapsed="false">
      <c r="A20" s="15" t="s">
        <v>107</v>
      </c>
      <c r="B20" s="16" t="s">
        <v>21</v>
      </c>
      <c r="C20" s="16" t="s">
        <v>83</v>
      </c>
      <c r="D20" s="16" t="s">
        <v>108</v>
      </c>
      <c r="E20" s="16" t="s">
        <v>50</v>
      </c>
      <c r="F20" s="16" t="s">
        <v>60</v>
      </c>
      <c r="G20" s="17" t="n">
        <v>30</v>
      </c>
      <c r="H20" s="18" t="s">
        <v>30</v>
      </c>
      <c r="I20" s="19" t="s">
        <v>35</v>
      </c>
      <c r="J20" s="20" t="s">
        <v>61</v>
      </c>
      <c r="K20" s="20" t="s">
        <v>106</v>
      </c>
    </row>
    <row r="21" customFormat="false" ht="15" hidden="false" customHeight="false" outlineLevel="0" collapsed="false">
      <c r="A21" s="15" t="s">
        <v>109</v>
      </c>
      <c r="B21" s="16" t="s">
        <v>21</v>
      </c>
      <c r="C21" s="16" t="s">
        <v>83</v>
      </c>
      <c r="D21" s="16" t="s">
        <v>110</v>
      </c>
      <c r="E21" s="16" t="s">
        <v>50</v>
      </c>
      <c r="F21" s="16" t="s">
        <v>60</v>
      </c>
      <c r="G21" s="17" t="n">
        <v>30</v>
      </c>
      <c r="H21" s="18" t="s">
        <v>30</v>
      </c>
      <c r="I21" s="19" t="s">
        <v>35</v>
      </c>
      <c r="J21" s="20" t="s">
        <v>64</v>
      </c>
      <c r="K21" s="20" t="s">
        <v>106</v>
      </c>
    </row>
    <row r="22" customFormat="false" ht="23.85" hidden="false" customHeight="false" outlineLevel="0" collapsed="false">
      <c r="A22" s="15" t="s">
        <v>111</v>
      </c>
      <c r="B22" s="16" t="s">
        <v>21</v>
      </c>
      <c r="C22" s="16" t="s">
        <v>66</v>
      </c>
      <c r="D22" s="16" t="s">
        <v>112</v>
      </c>
      <c r="E22" s="16" t="s">
        <v>68</v>
      </c>
      <c r="F22" s="16" t="s">
        <v>69</v>
      </c>
      <c r="G22" s="17" t="n">
        <v>30</v>
      </c>
      <c r="H22" s="21" t="s">
        <v>31</v>
      </c>
      <c r="I22" s="19" t="s">
        <v>35</v>
      </c>
      <c r="J22" s="20" t="s">
        <v>70</v>
      </c>
      <c r="K22" s="20" t="s">
        <v>71</v>
      </c>
    </row>
    <row r="23" customFormat="false" ht="15" hidden="false" customHeight="false" outlineLevel="0" collapsed="false">
      <c r="A23" s="15" t="s">
        <v>113</v>
      </c>
      <c r="B23" s="16" t="s">
        <v>21</v>
      </c>
      <c r="C23" s="16" t="s">
        <v>83</v>
      </c>
      <c r="D23" s="16" t="s">
        <v>114</v>
      </c>
      <c r="E23" s="16" t="s">
        <v>50</v>
      </c>
      <c r="F23" s="16" t="s">
        <v>51</v>
      </c>
      <c r="G23" s="17" t="n">
        <v>30</v>
      </c>
      <c r="H23" s="18" t="s">
        <v>30</v>
      </c>
      <c r="I23" s="19" t="s">
        <v>35</v>
      </c>
      <c r="J23" s="20" t="s">
        <v>115</v>
      </c>
      <c r="K23" s="20" t="s">
        <v>116</v>
      </c>
    </row>
    <row r="24" customFormat="false" ht="15" hidden="false" customHeight="false" outlineLevel="0" collapsed="false">
      <c r="A24" s="15" t="s">
        <v>117</v>
      </c>
      <c r="B24" s="16" t="s">
        <v>21</v>
      </c>
      <c r="C24" s="16" t="s">
        <v>83</v>
      </c>
      <c r="D24" s="16" t="s">
        <v>118</v>
      </c>
      <c r="E24" s="16" t="s">
        <v>50</v>
      </c>
      <c r="F24" s="16" t="s">
        <v>60</v>
      </c>
      <c r="G24" s="17" t="n">
        <v>30</v>
      </c>
      <c r="H24" s="18" t="s">
        <v>30</v>
      </c>
      <c r="I24" s="19" t="s">
        <v>35</v>
      </c>
      <c r="J24" s="20" t="s">
        <v>61</v>
      </c>
      <c r="K24" s="20" t="s">
        <v>116</v>
      </c>
    </row>
    <row r="25" customFormat="false" ht="15" hidden="false" customHeight="false" outlineLevel="0" collapsed="false">
      <c r="A25" s="15" t="s">
        <v>119</v>
      </c>
      <c r="B25" s="16" t="s">
        <v>21</v>
      </c>
      <c r="C25" s="16" t="s">
        <v>83</v>
      </c>
      <c r="D25" s="16" t="s">
        <v>120</v>
      </c>
      <c r="E25" s="16" t="s">
        <v>50</v>
      </c>
      <c r="F25" s="16" t="s">
        <v>60</v>
      </c>
      <c r="G25" s="17" t="n">
        <v>30</v>
      </c>
      <c r="H25" s="18" t="s">
        <v>30</v>
      </c>
      <c r="I25" s="19" t="s">
        <v>35</v>
      </c>
      <c r="J25" s="20" t="s">
        <v>64</v>
      </c>
      <c r="K25" s="20" t="s">
        <v>116</v>
      </c>
    </row>
    <row r="26" customFormat="false" ht="23.85" hidden="false" customHeight="false" outlineLevel="0" collapsed="false">
      <c r="A26" s="15" t="s">
        <v>121</v>
      </c>
      <c r="B26" s="16" t="s">
        <v>21</v>
      </c>
      <c r="C26" s="16" t="s">
        <v>66</v>
      </c>
      <c r="D26" s="16" t="s">
        <v>122</v>
      </c>
      <c r="E26" s="16" t="s">
        <v>68</v>
      </c>
      <c r="F26" s="16" t="s">
        <v>69</v>
      </c>
      <c r="G26" s="17" t="n">
        <v>30</v>
      </c>
      <c r="H26" s="21" t="s">
        <v>31</v>
      </c>
      <c r="I26" s="19" t="s">
        <v>35</v>
      </c>
      <c r="J26" s="20" t="s">
        <v>70</v>
      </c>
      <c r="K26" s="20" t="s">
        <v>71</v>
      </c>
    </row>
    <row r="27" customFormat="false" ht="15" hidden="false" customHeight="false" outlineLevel="0" collapsed="false">
      <c r="A27" s="15" t="s">
        <v>123</v>
      </c>
      <c r="B27" s="16" t="s">
        <v>21</v>
      </c>
      <c r="C27" s="16" t="s">
        <v>83</v>
      </c>
      <c r="D27" s="16" t="s">
        <v>124</v>
      </c>
      <c r="E27" s="16" t="s">
        <v>50</v>
      </c>
      <c r="F27" s="16" t="s">
        <v>51</v>
      </c>
      <c r="G27" s="17" t="n">
        <v>30</v>
      </c>
      <c r="H27" s="18" t="s">
        <v>30</v>
      </c>
      <c r="I27" s="19" t="s">
        <v>35</v>
      </c>
      <c r="J27" s="20" t="s">
        <v>125</v>
      </c>
      <c r="K27" s="20" t="s">
        <v>126</v>
      </c>
    </row>
    <row r="28" customFormat="false" ht="15" hidden="false" customHeight="false" outlineLevel="0" collapsed="false">
      <c r="A28" s="15" t="s">
        <v>127</v>
      </c>
      <c r="B28" s="16" t="s">
        <v>21</v>
      </c>
      <c r="C28" s="16" t="s">
        <v>83</v>
      </c>
      <c r="D28" s="16" t="s">
        <v>128</v>
      </c>
      <c r="E28" s="16" t="s">
        <v>50</v>
      </c>
      <c r="F28" s="16" t="s">
        <v>60</v>
      </c>
      <c r="G28" s="17" t="n">
        <v>30</v>
      </c>
      <c r="H28" s="18" t="s">
        <v>30</v>
      </c>
      <c r="I28" s="19" t="s">
        <v>35</v>
      </c>
      <c r="J28" s="20" t="s">
        <v>61</v>
      </c>
      <c r="K28" s="20" t="s">
        <v>126</v>
      </c>
    </row>
    <row r="29" customFormat="false" ht="15" hidden="false" customHeight="false" outlineLevel="0" collapsed="false">
      <c r="A29" s="15" t="s">
        <v>129</v>
      </c>
      <c r="B29" s="16" t="s">
        <v>21</v>
      </c>
      <c r="C29" s="16" t="s">
        <v>83</v>
      </c>
      <c r="D29" s="16" t="s">
        <v>130</v>
      </c>
      <c r="E29" s="16" t="s">
        <v>50</v>
      </c>
      <c r="F29" s="16" t="s">
        <v>60</v>
      </c>
      <c r="G29" s="17" t="n">
        <v>30</v>
      </c>
      <c r="H29" s="18" t="s">
        <v>30</v>
      </c>
      <c r="I29" s="19" t="s">
        <v>35</v>
      </c>
      <c r="J29" s="20" t="s">
        <v>64</v>
      </c>
      <c r="K29" s="20" t="s">
        <v>126</v>
      </c>
    </row>
    <row r="30" customFormat="false" ht="23.85" hidden="false" customHeight="false" outlineLevel="0" collapsed="false">
      <c r="A30" s="15" t="s">
        <v>131</v>
      </c>
      <c r="B30" s="16" t="s">
        <v>21</v>
      </c>
      <c r="C30" s="16" t="s">
        <v>66</v>
      </c>
      <c r="D30" s="16" t="s">
        <v>132</v>
      </c>
      <c r="E30" s="16" t="s">
        <v>68</v>
      </c>
      <c r="F30" s="16" t="s">
        <v>69</v>
      </c>
      <c r="G30" s="17" t="n">
        <v>30</v>
      </c>
      <c r="H30" s="21" t="s">
        <v>31</v>
      </c>
      <c r="I30" s="19" t="s">
        <v>35</v>
      </c>
      <c r="J30" s="20" t="s">
        <v>70</v>
      </c>
      <c r="K30" s="20" t="s">
        <v>71</v>
      </c>
    </row>
    <row r="31" customFormat="false" ht="15" hidden="false" customHeight="false" outlineLevel="0" collapsed="false">
      <c r="A31" s="15" t="s">
        <v>133</v>
      </c>
      <c r="B31" s="16" t="s">
        <v>21</v>
      </c>
      <c r="C31" s="16" t="s">
        <v>134</v>
      </c>
      <c r="D31" s="16" t="s">
        <v>135</v>
      </c>
      <c r="E31" s="16" t="s">
        <v>50</v>
      </c>
      <c r="F31" s="16" t="s">
        <v>51</v>
      </c>
      <c r="G31" s="17" t="n">
        <v>30</v>
      </c>
      <c r="H31" s="18" t="s">
        <v>30</v>
      </c>
      <c r="I31" s="19" t="s">
        <v>35</v>
      </c>
      <c r="J31" s="20" t="s">
        <v>136</v>
      </c>
      <c r="K31" s="20" t="s">
        <v>137</v>
      </c>
    </row>
    <row r="32" customFormat="false" ht="15" hidden="false" customHeight="false" outlineLevel="0" collapsed="false">
      <c r="A32" s="15" t="s">
        <v>138</v>
      </c>
      <c r="B32" s="16" t="s">
        <v>21</v>
      </c>
      <c r="C32" s="16" t="s">
        <v>134</v>
      </c>
      <c r="D32" s="16" t="s">
        <v>139</v>
      </c>
      <c r="E32" s="16" t="s">
        <v>50</v>
      </c>
      <c r="F32" s="16" t="s">
        <v>51</v>
      </c>
      <c r="G32" s="17" t="n">
        <v>30</v>
      </c>
      <c r="H32" s="18" t="s">
        <v>30</v>
      </c>
      <c r="I32" s="19" t="s">
        <v>35</v>
      </c>
      <c r="J32" s="20" t="s">
        <v>140</v>
      </c>
      <c r="K32" s="20" t="s">
        <v>141</v>
      </c>
    </row>
    <row r="33" customFormat="false" ht="15" hidden="false" customHeight="false" outlineLevel="0" collapsed="false">
      <c r="A33" s="15" t="s">
        <v>142</v>
      </c>
      <c r="B33" s="16" t="s">
        <v>21</v>
      </c>
      <c r="C33" s="16" t="s">
        <v>134</v>
      </c>
      <c r="D33" s="16" t="s">
        <v>143</v>
      </c>
      <c r="E33" s="16" t="s">
        <v>50</v>
      </c>
      <c r="F33" s="16" t="s">
        <v>60</v>
      </c>
      <c r="G33" s="17" t="n">
        <v>30</v>
      </c>
      <c r="H33" s="18" t="s">
        <v>30</v>
      </c>
      <c r="I33" s="19" t="s">
        <v>35</v>
      </c>
      <c r="J33" s="20" t="s">
        <v>61</v>
      </c>
      <c r="K33" s="20" t="s">
        <v>141</v>
      </c>
    </row>
    <row r="34" customFormat="false" ht="15" hidden="false" customHeight="false" outlineLevel="0" collapsed="false">
      <c r="A34" s="15" t="s">
        <v>144</v>
      </c>
      <c r="B34" s="16" t="s">
        <v>21</v>
      </c>
      <c r="C34" s="16" t="s">
        <v>134</v>
      </c>
      <c r="D34" s="16" t="s">
        <v>145</v>
      </c>
      <c r="E34" s="16" t="s">
        <v>50</v>
      </c>
      <c r="F34" s="16" t="s">
        <v>60</v>
      </c>
      <c r="G34" s="17" t="n">
        <v>30</v>
      </c>
      <c r="H34" s="18" t="s">
        <v>30</v>
      </c>
      <c r="I34" s="19" t="s">
        <v>35</v>
      </c>
      <c r="J34" s="20" t="s">
        <v>64</v>
      </c>
      <c r="K34" s="20" t="s">
        <v>141</v>
      </c>
    </row>
    <row r="35" customFormat="false" ht="23.85" hidden="false" customHeight="false" outlineLevel="0" collapsed="false">
      <c r="A35" s="15" t="s">
        <v>146</v>
      </c>
      <c r="B35" s="16" t="s">
        <v>21</v>
      </c>
      <c r="C35" s="16" t="s">
        <v>66</v>
      </c>
      <c r="D35" s="16" t="s">
        <v>147</v>
      </c>
      <c r="E35" s="16" t="s">
        <v>68</v>
      </c>
      <c r="F35" s="16" t="s">
        <v>69</v>
      </c>
      <c r="G35" s="17" t="n">
        <v>30</v>
      </c>
      <c r="H35" s="21" t="s">
        <v>31</v>
      </c>
      <c r="I35" s="19" t="s">
        <v>35</v>
      </c>
      <c r="J35" s="20" t="s">
        <v>70</v>
      </c>
      <c r="K35" s="20" t="s">
        <v>71</v>
      </c>
    </row>
    <row r="36" customFormat="false" ht="15" hidden="false" customHeight="false" outlineLevel="0" collapsed="false">
      <c r="A36" s="15" t="s">
        <v>148</v>
      </c>
      <c r="B36" s="16" t="s">
        <v>21</v>
      </c>
      <c r="C36" s="16" t="s">
        <v>134</v>
      </c>
      <c r="D36" s="16" t="s">
        <v>149</v>
      </c>
      <c r="E36" s="16" t="s">
        <v>50</v>
      </c>
      <c r="F36" s="16" t="s">
        <v>51</v>
      </c>
      <c r="G36" s="17" t="n">
        <v>30</v>
      </c>
      <c r="H36" s="18" t="s">
        <v>30</v>
      </c>
      <c r="I36" s="19" t="s">
        <v>35</v>
      </c>
      <c r="J36" s="20" t="s">
        <v>150</v>
      </c>
      <c r="K36" s="20" t="s">
        <v>151</v>
      </c>
    </row>
    <row r="37" customFormat="false" ht="15" hidden="false" customHeight="false" outlineLevel="0" collapsed="false">
      <c r="A37" s="15" t="s">
        <v>152</v>
      </c>
      <c r="B37" s="16" t="s">
        <v>21</v>
      </c>
      <c r="C37" s="16" t="s">
        <v>134</v>
      </c>
      <c r="D37" s="16" t="s">
        <v>153</v>
      </c>
      <c r="E37" s="16" t="s">
        <v>50</v>
      </c>
      <c r="F37" s="16" t="s">
        <v>60</v>
      </c>
      <c r="G37" s="17" t="n">
        <v>30</v>
      </c>
      <c r="H37" s="18" t="s">
        <v>30</v>
      </c>
      <c r="I37" s="19" t="s">
        <v>35</v>
      </c>
      <c r="J37" s="20" t="s">
        <v>61</v>
      </c>
      <c r="K37" s="20" t="s">
        <v>151</v>
      </c>
    </row>
    <row r="38" customFormat="false" ht="15" hidden="false" customHeight="false" outlineLevel="0" collapsed="false">
      <c r="A38" s="15" t="s">
        <v>154</v>
      </c>
      <c r="B38" s="16" t="s">
        <v>21</v>
      </c>
      <c r="C38" s="16" t="s">
        <v>134</v>
      </c>
      <c r="D38" s="16" t="s">
        <v>155</v>
      </c>
      <c r="E38" s="16" t="s">
        <v>50</v>
      </c>
      <c r="F38" s="16" t="s">
        <v>60</v>
      </c>
      <c r="G38" s="17" t="n">
        <v>30</v>
      </c>
      <c r="H38" s="18" t="s">
        <v>30</v>
      </c>
      <c r="I38" s="19" t="s">
        <v>35</v>
      </c>
      <c r="J38" s="20" t="s">
        <v>64</v>
      </c>
      <c r="K38" s="20" t="s">
        <v>151</v>
      </c>
    </row>
    <row r="39" customFormat="false" ht="23.85" hidden="false" customHeight="false" outlineLevel="0" collapsed="false">
      <c r="A39" s="15" t="s">
        <v>156</v>
      </c>
      <c r="B39" s="16" t="s">
        <v>21</v>
      </c>
      <c r="C39" s="16" t="s">
        <v>66</v>
      </c>
      <c r="D39" s="16" t="s">
        <v>157</v>
      </c>
      <c r="E39" s="16" t="s">
        <v>68</v>
      </c>
      <c r="F39" s="16" t="s">
        <v>69</v>
      </c>
      <c r="G39" s="17" t="n">
        <v>30</v>
      </c>
      <c r="H39" s="21" t="s">
        <v>31</v>
      </c>
      <c r="I39" s="19" t="s">
        <v>35</v>
      </c>
      <c r="J39" s="20" t="s">
        <v>70</v>
      </c>
      <c r="K39" s="20" t="s">
        <v>71</v>
      </c>
    </row>
    <row r="40" customFormat="false" ht="15" hidden="false" customHeight="false" outlineLevel="0" collapsed="false">
      <c r="A40" s="15" t="s">
        <v>158</v>
      </c>
      <c r="B40" s="16" t="s">
        <v>21</v>
      </c>
      <c r="C40" s="16" t="s">
        <v>134</v>
      </c>
      <c r="D40" s="16" t="s">
        <v>159</v>
      </c>
      <c r="E40" s="16" t="s">
        <v>50</v>
      </c>
      <c r="F40" s="16" t="s">
        <v>51</v>
      </c>
      <c r="G40" s="17" t="n">
        <v>30</v>
      </c>
      <c r="H40" s="18" t="s">
        <v>30</v>
      </c>
      <c r="I40" s="19" t="s">
        <v>35</v>
      </c>
      <c r="J40" s="20" t="s">
        <v>160</v>
      </c>
      <c r="K40" s="20" t="s">
        <v>161</v>
      </c>
    </row>
    <row r="41" customFormat="false" ht="15" hidden="false" customHeight="false" outlineLevel="0" collapsed="false">
      <c r="A41" s="15" t="s">
        <v>162</v>
      </c>
      <c r="B41" s="16" t="s">
        <v>21</v>
      </c>
      <c r="C41" s="16" t="s">
        <v>134</v>
      </c>
      <c r="D41" s="16" t="s">
        <v>163</v>
      </c>
      <c r="E41" s="16" t="s">
        <v>50</v>
      </c>
      <c r="F41" s="16" t="s">
        <v>60</v>
      </c>
      <c r="G41" s="17" t="n">
        <v>30</v>
      </c>
      <c r="H41" s="18" t="s">
        <v>30</v>
      </c>
      <c r="I41" s="19" t="s">
        <v>35</v>
      </c>
      <c r="J41" s="20" t="s">
        <v>61</v>
      </c>
      <c r="K41" s="20" t="s">
        <v>161</v>
      </c>
    </row>
    <row r="42" customFormat="false" ht="15" hidden="false" customHeight="false" outlineLevel="0" collapsed="false">
      <c r="A42" s="15" t="s">
        <v>164</v>
      </c>
      <c r="B42" s="16" t="s">
        <v>21</v>
      </c>
      <c r="C42" s="16" t="s">
        <v>134</v>
      </c>
      <c r="D42" s="16" t="s">
        <v>165</v>
      </c>
      <c r="E42" s="16" t="s">
        <v>50</v>
      </c>
      <c r="F42" s="16" t="s">
        <v>60</v>
      </c>
      <c r="G42" s="17" t="n">
        <v>30</v>
      </c>
      <c r="H42" s="18" t="s">
        <v>30</v>
      </c>
      <c r="I42" s="19" t="s">
        <v>35</v>
      </c>
      <c r="J42" s="20" t="s">
        <v>64</v>
      </c>
      <c r="K42" s="20" t="s">
        <v>161</v>
      </c>
    </row>
    <row r="43" customFormat="false" ht="23.85" hidden="false" customHeight="false" outlineLevel="0" collapsed="false">
      <c r="A43" s="15" t="s">
        <v>166</v>
      </c>
      <c r="B43" s="16" t="s">
        <v>21</v>
      </c>
      <c r="C43" s="16" t="s">
        <v>66</v>
      </c>
      <c r="D43" s="16" t="s">
        <v>167</v>
      </c>
      <c r="E43" s="16" t="s">
        <v>68</v>
      </c>
      <c r="F43" s="16" t="s">
        <v>69</v>
      </c>
      <c r="G43" s="17" t="n">
        <v>30</v>
      </c>
      <c r="H43" s="21" t="s">
        <v>31</v>
      </c>
      <c r="I43" s="19" t="s">
        <v>35</v>
      </c>
      <c r="J43" s="20" t="s">
        <v>70</v>
      </c>
      <c r="K43" s="20" t="s">
        <v>71</v>
      </c>
    </row>
    <row r="44" customFormat="false" ht="15" hidden="false" customHeight="false" outlineLevel="0" collapsed="false">
      <c r="A44" s="15" t="s">
        <v>168</v>
      </c>
      <c r="B44" s="16" t="s">
        <v>21</v>
      </c>
      <c r="C44" s="16" t="s">
        <v>134</v>
      </c>
      <c r="D44" s="16" t="s">
        <v>169</v>
      </c>
      <c r="E44" s="16" t="s">
        <v>50</v>
      </c>
      <c r="F44" s="16" t="s">
        <v>51</v>
      </c>
      <c r="G44" s="17" t="n">
        <v>30</v>
      </c>
      <c r="H44" s="18" t="s">
        <v>30</v>
      </c>
      <c r="I44" s="19" t="s">
        <v>35</v>
      </c>
      <c r="J44" s="20" t="s">
        <v>170</v>
      </c>
      <c r="K44" s="20" t="s">
        <v>171</v>
      </c>
    </row>
    <row r="45" customFormat="false" ht="15" hidden="false" customHeight="false" outlineLevel="0" collapsed="false">
      <c r="A45" s="15" t="s">
        <v>172</v>
      </c>
      <c r="B45" s="16" t="s">
        <v>21</v>
      </c>
      <c r="C45" s="16" t="s">
        <v>134</v>
      </c>
      <c r="D45" s="16" t="s">
        <v>173</v>
      </c>
      <c r="E45" s="16" t="s">
        <v>50</v>
      </c>
      <c r="F45" s="16" t="s">
        <v>60</v>
      </c>
      <c r="G45" s="17" t="n">
        <v>30</v>
      </c>
      <c r="H45" s="18" t="s">
        <v>30</v>
      </c>
      <c r="I45" s="19" t="s">
        <v>35</v>
      </c>
      <c r="J45" s="20" t="s">
        <v>61</v>
      </c>
      <c r="K45" s="20" t="s">
        <v>171</v>
      </c>
    </row>
    <row r="46" customFormat="false" ht="15" hidden="false" customHeight="false" outlineLevel="0" collapsed="false">
      <c r="A46" s="15" t="s">
        <v>174</v>
      </c>
      <c r="B46" s="16" t="s">
        <v>21</v>
      </c>
      <c r="C46" s="16" t="s">
        <v>134</v>
      </c>
      <c r="D46" s="16" t="s">
        <v>175</v>
      </c>
      <c r="E46" s="16" t="s">
        <v>50</v>
      </c>
      <c r="F46" s="16" t="s">
        <v>60</v>
      </c>
      <c r="G46" s="17" t="n">
        <v>30</v>
      </c>
      <c r="H46" s="18" t="s">
        <v>30</v>
      </c>
      <c r="I46" s="19" t="s">
        <v>35</v>
      </c>
      <c r="J46" s="20" t="s">
        <v>64</v>
      </c>
      <c r="K46" s="20" t="s">
        <v>171</v>
      </c>
    </row>
    <row r="47" customFormat="false" ht="23.85" hidden="false" customHeight="false" outlineLevel="0" collapsed="false">
      <c r="A47" s="15" t="s">
        <v>176</v>
      </c>
      <c r="B47" s="16" t="s">
        <v>21</v>
      </c>
      <c r="C47" s="16" t="s">
        <v>66</v>
      </c>
      <c r="D47" s="16" t="s">
        <v>177</v>
      </c>
      <c r="E47" s="16" t="s">
        <v>68</v>
      </c>
      <c r="F47" s="16" t="s">
        <v>69</v>
      </c>
      <c r="G47" s="17" t="n">
        <v>30</v>
      </c>
      <c r="H47" s="21" t="s">
        <v>31</v>
      </c>
      <c r="I47" s="19" t="s">
        <v>35</v>
      </c>
      <c r="J47" s="20" t="s">
        <v>70</v>
      </c>
      <c r="K47" s="20" t="s">
        <v>71</v>
      </c>
    </row>
    <row r="48" customFormat="false" ht="15" hidden="false" customHeight="false" outlineLevel="0" collapsed="false">
      <c r="A48" s="15" t="s">
        <v>178</v>
      </c>
      <c r="B48" s="16" t="s">
        <v>21</v>
      </c>
      <c r="C48" s="16" t="s">
        <v>134</v>
      </c>
      <c r="D48" s="16" t="s">
        <v>179</v>
      </c>
      <c r="E48" s="16" t="s">
        <v>50</v>
      </c>
      <c r="F48" s="16" t="s">
        <v>51</v>
      </c>
      <c r="G48" s="17" t="n">
        <v>30</v>
      </c>
      <c r="H48" s="18" t="s">
        <v>30</v>
      </c>
      <c r="I48" s="19" t="s">
        <v>35</v>
      </c>
      <c r="J48" s="20" t="s">
        <v>180</v>
      </c>
      <c r="K48" s="20" t="s">
        <v>181</v>
      </c>
    </row>
    <row r="49" customFormat="false" ht="15" hidden="false" customHeight="false" outlineLevel="0" collapsed="false">
      <c r="A49" s="15" t="s">
        <v>182</v>
      </c>
      <c r="B49" s="16" t="s">
        <v>21</v>
      </c>
      <c r="C49" s="16" t="s">
        <v>134</v>
      </c>
      <c r="D49" s="16" t="s">
        <v>183</v>
      </c>
      <c r="E49" s="16" t="s">
        <v>50</v>
      </c>
      <c r="F49" s="16" t="s">
        <v>51</v>
      </c>
      <c r="G49" s="17" t="n">
        <v>30</v>
      </c>
      <c r="H49" s="18" t="s">
        <v>30</v>
      </c>
      <c r="I49" s="19" t="s">
        <v>35</v>
      </c>
      <c r="J49" s="20" t="s">
        <v>184</v>
      </c>
      <c r="K49" s="20" t="s">
        <v>185</v>
      </c>
    </row>
    <row r="50" customFormat="false" ht="15" hidden="false" customHeight="false" outlineLevel="0" collapsed="false">
      <c r="A50" s="15" t="s">
        <v>186</v>
      </c>
      <c r="B50" s="16" t="s">
        <v>21</v>
      </c>
      <c r="C50" s="16" t="s">
        <v>134</v>
      </c>
      <c r="D50" s="16" t="s">
        <v>187</v>
      </c>
      <c r="E50" s="16" t="s">
        <v>50</v>
      </c>
      <c r="F50" s="16" t="s">
        <v>51</v>
      </c>
      <c r="G50" s="17" t="n">
        <v>30</v>
      </c>
      <c r="H50" s="18" t="s">
        <v>30</v>
      </c>
      <c r="I50" s="19" t="s">
        <v>35</v>
      </c>
      <c r="J50" s="20" t="s">
        <v>188</v>
      </c>
      <c r="K50" s="20" t="s">
        <v>185</v>
      </c>
    </row>
    <row r="51" customFormat="false" ht="15" hidden="false" customHeight="false" outlineLevel="0" collapsed="false">
      <c r="A51" s="15" t="s">
        <v>189</v>
      </c>
      <c r="B51" s="16" t="s">
        <v>21</v>
      </c>
      <c r="C51" s="16" t="s">
        <v>134</v>
      </c>
      <c r="D51" s="16" t="s">
        <v>190</v>
      </c>
      <c r="E51" s="16" t="s">
        <v>50</v>
      </c>
      <c r="F51" s="16" t="s">
        <v>60</v>
      </c>
      <c r="G51" s="17" t="n">
        <v>30</v>
      </c>
      <c r="H51" s="18" t="s">
        <v>30</v>
      </c>
      <c r="I51" s="19" t="s">
        <v>35</v>
      </c>
      <c r="J51" s="20" t="s">
        <v>61</v>
      </c>
      <c r="K51" s="20" t="s">
        <v>185</v>
      </c>
    </row>
    <row r="52" customFormat="false" ht="15" hidden="false" customHeight="false" outlineLevel="0" collapsed="false">
      <c r="A52" s="15" t="s">
        <v>191</v>
      </c>
      <c r="B52" s="16" t="s">
        <v>21</v>
      </c>
      <c r="C52" s="16" t="s">
        <v>134</v>
      </c>
      <c r="D52" s="16" t="s">
        <v>192</v>
      </c>
      <c r="E52" s="16" t="s">
        <v>50</v>
      </c>
      <c r="F52" s="16" t="s">
        <v>60</v>
      </c>
      <c r="G52" s="17" t="n">
        <v>30</v>
      </c>
      <c r="H52" s="18" t="s">
        <v>30</v>
      </c>
      <c r="I52" s="19" t="s">
        <v>35</v>
      </c>
      <c r="J52" s="20" t="s">
        <v>64</v>
      </c>
      <c r="K52" s="20" t="s">
        <v>185</v>
      </c>
    </row>
    <row r="53" customFormat="false" ht="23.85" hidden="false" customHeight="false" outlineLevel="0" collapsed="false">
      <c r="A53" s="15" t="s">
        <v>193</v>
      </c>
      <c r="B53" s="16" t="s">
        <v>21</v>
      </c>
      <c r="C53" s="16" t="s">
        <v>66</v>
      </c>
      <c r="D53" s="16" t="s">
        <v>194</v>
      </c>
      <c r="E53" s="16" t="s">
        <v>68</v>
      </c>
      <c r="F53" s="16" t="s">
        <v>69</v>
      </c>
      <c r="G53" s="17" t="n">
        <v>30</v>
      </c>
      <c r="H53" s="21" t="s">
        <v>31</v>
      </c>
      <c r="I53" s="19" t="s">
        <v>35</v>
      </c>
      <c r="J53" s="20" t="s">
        <v>70</v>
      </c>
      <c r="K53" s="20" t="s">
        <v>71</v>
      </c>
    </row>
    <row r="54" customFormat="false" ht="15" hidden="false" customHeight="false" outlineLevel="0" collapsed="false">
      <c r="A54" s="15" t="s">
        <v>195</v>
      </c>
      <c r="B54" s="16" t="s">
        <v>21</v>
      </c>
      <c r="C54" s="16" t="s">
        <v>134</v>
      </c>
      <c r="D54" s="16" t="s">
        <v>196</v>
      </c>
      <c r="E54" s="16" t="s">
        <v>50</v>
      </c>
      <c r="F54" s="16" t="s">
        <v>51</v>
      </c>
      <c r="G54" s="17" t="n">
        <v>30</v>
      </c>
      <c r="H54" s="18" t="s">
        <v>30</v>
      </c>
      <c r="I54" s="19" t="s">
        <v>35</v>
      </c>
      <c r="J54" s="20" t="s">
        <v>197</v>
      </c>
      <c r="K54" s="20" t="s">
        <v>198</v>
      </c>
    </row>
    <row r="55" customFormat="false" ht="15" hidden="false" customHeight="false" outlineLevel="0" collapsed="false">
      <c r="A55" s="15" t="s">
        <v>199</v>
      </c>
      <c r="B55" s="16" t="s">
        <v>21</v>
      </c>
      <c r="C55" s="16" t="s">
        <v>134</v>
      </c>
      <c r="D55" s="16" t="s">
        <v>200</v>
      </c>
      <c r="E55" s="16" t="s">
        <v>50</v>
      </c>
      <c r="F55" s="16" t="s">
        <v>51</v>
      </c>
      <c r="G55" s="17" t="n">
        <v>30</v>
      </c>
      <c r="H55" s="18" t="s">
        <v>30</v>
      </c>
      <c r="I55" s="19" t="s">
        <v>35</v>
      </c>
      <c r="J55" s="20" t="s">
        <v>201</v>
      </c>
      <c r="K55" s="20" t="s">
        <v>202</v>
      </c>
    </row>
    <row r="56" customFormat="false" ht="15" hidden="false" customHeight="false" outlineLevel="0" collapsed="false">
      <c r="A56" s="15" t="s">
        <v>203</v>
      </c>
      <c r="B56" s="16" t="s">
        <v>21</v>
      </c>
      <c r="C56" s="16" t="s">
        <v>134</v>
      </c>
      <c r="D56" s="16" t="s">
        <v>204</v>
      </c>
      <c r="E56" s="16" t="s">
        <v>50</v>
      </c>
      <c r="F56" s="16" t="s">
        <v>60</v>
      </c>
      <c r="G56" s="17" t="n">
        <v>30</v>
      </c>
      <c r="H56" s="18" t="s">
        <v>30</v>
      </c>
      <c r="I56" s="19" t="s">
        <v>35</v>
      </c>
      <c r="J56" s="20" t="s">
        <v>61</v>
      </c>
      <c r="K56" s="20" t="s">
        <v>202</v>
      </c>
    </row>
    <row r="57" customFormat="false" ht="15" hidden="false" customHeight="false" outlineLevel="0" collapsed="false">
      <c r="A57" s="15" t="s">
        <v>205</v>
      </c>
      <c r="B57" s="16" t="s">
        <v>21</v>
      </c>
      <c r="C57" s="16" t="s">
        <v>134</v>
      </c>
      <c r="D57" s="16" t="s">
        <v>206</v>
      </c>
      <c r="E57" s="16" t="s">
        <v>50</v>
      </c>
      <c r="F57" s="16" t="s">
        <v>60</v>
      </c>
      <c r="G57" s="17" t="n">
        <v>30</v>
      </c>
      <c r="H57" s="18" t="s">
        <v>30</v>
      </c>
      <c r="I57" s="19" t="s">
        <v>35</v>
      </c>
      <c r="J57" s="20" t="s">
        <v>64</v>
      </c>
      <c r="K57" s="20" t="s">
        <v>202</v>
      </c>
    </row>
    <row r="58" customFormat="false" ht="23.85" hidden="false" customHeight="false" outlineLevel="0" collapsed="false">
      <c r="A58" s="15" t="s">
        <v>207</v>
      </c>
      <c r="B58" s="16" t="s">
        <v>21</v>
      </c>
      <c r="C58" s="16" t="s">
        <v>66</v>
      </c>
      <c r="D58" s="16" t="s">
        <v>208</v>
      </c>
      <c r="E58" s="16" t="s">
        <v>68</v>
      </c>
      <c r="F58" s="16" t="s">
        <v>69</v>
      </c>
      <c r="G58" s="17" t="n">
        <v>30</v>
      </c>
      <c r="H58" s="21" t="s">
        <v>31</v>
      </c>
      <c r="I58" s="19" t="s">
        <v>35</v>
      </c>
      <c r="J58" s="20" t="s">
        <v>70</v>
      </c>
      <c r="K58" s="20" t="s">
        <v>71</v>
      </c>
    </row>
    <row r="59" customFormat="false" ht="15" hidden="false" customHeight="false" outlineLevel="0" collapsed="false">
      <c r="A59" s="15" t="s">
        <v>209</v>
      </c>
      <c r="B59" s="16" t="s">
        <v>21</v>
      </c>
      <c r="C59" s="16" t="s">
        <v>134</v>
      </c>
      <c r="D59" s="16" t="s">
        <v>210</v>
      </c>
      <c r="E59" s="16" t="s">
        <v>50</v>
      </c>
      <c r="F59" s="16" t="s">
        <v>51</v>
      </c>
      <c r="G59" s="17" t="n">
        <v>30</v>
      </c>
      <c r="H59" s="18" t="s">
        <v>30</v>
      </c>
      <c r="I59" s="19" t="s">
        <v>35</v>
      </c>
      <c r="J59" s="20" t="s">
        <v>211</v>
      </c>
      <c r="K59" s="20" t="s">
        <v>212</v>
      </c>
    </row>
    <row r="60" customFormat="false" ht="15" hidden="false" customHeight="false" outlineLevel="0" collapsed="false">
      <c r="A60" s="15" t="s">
        <v>213</v>
      </c>
      <c r="B60" s="16" t="s">
        <v>21</v>
      </c>
      <c r="C60" s="16" t="s">
        <v>134</v>
      </c>
      <c r="D60" s="16" t="s">
        <v>214</v>
      </c>
      <c r="E60" s="16" t="s">
        <v>50</v>
      </c>
      <c r="F60" s="16" t="s">
        <v>51</v>
      </c>
      <c r="G60" s="17" t="n">
        <v>30</v>
      </c>
      <c r="H60" s="18" t="s">
        <v>30</v>
      </c>
      <c r="I60" s="19" t="s">
        <v>35</v>
      </c>
      <c r="J60" s="20" t="s">
        <v>215</v>
      </c>
      <c r="K60" s="20" t="s">
        <v>216</v>
      </c>
    </row>
    <row r="61" customFormat="false" ht="15" hidden="false" customHeight="false" outlineLevel="0" collapsed="false">
      <c r="A61" s="15" t="s">
        <v>217</v>
      </c>
      <c r="B61" s="16" t="s">
        <v>21</v>
      </c>
      <c r="C61" s="16" t="s">
        <v>134</v>
      </c>
      <c r="D61" s="16" t="s">
        <v>218</v>
      </c>
      <c r="E61" s="16" t="s">
        <v>50</v>
      </c>
      <c r="F61" s="16" t="s">
        <v>51</v>
      </c>
      <c r="G61" s="17" t="n">
        <v>30</v>
      </c>
      <c r="H61" s="18" t="s">
        <v>30</v>
      </c>
      <c r="I61" s="19" t="s">
        <v>35</v>
      </c>
      <c r="J61" s="20" t="s">
        <v>219</v>
      </c>
      <c r="K61" s="20" t="s">
        <v>220</v>
      </c>
    </row>
    <row r="62" customFormat="false" ht="15" hidden="false" customHeight="false" outlineLevel="0" collapsed="false">
      <c r="A62" s="15" t="s">
        <v>221</v>
      </c>
      <c r="B62" s="16" t="s">
        <v>21</v>
      </c>
      <c r="C62" s="16" t="s">
        <v>134</v>
      </c>
      <c r="D62" s="16" t="s">
        <v>222</v>
      </c>
      <c r="E62" s="16" t="s">
        <v>50</v>
      </c>
      <c r="F62" s="16" t="s">
        <v>60</v>
      </c>
      <c r="G62" s="17" t="n">
        <v>30</v>
      </c>
      <c r="H62" s="18" t="s">
        <v>30</v>
      </c>
      <c r="I62" s="19" t="s">
        <v>35</v>
      </c>
      <c r="J62" s="20" t="s">
        <v>61</v>
      </c>
      <c r="K62" s="20" t="s">
        <v>220</v>
      </c>
    </row>
    <row r="63" customFormat="false" ht="15" hidden="false" customHeight="false" outlineLevel="0" collapsed="false">
      <c r="A63" s="15" t="s">
        <v>223</v>
      </c>
      <c r="B63" s="16" t="s">
        <v>21</v>
      </c>
      <c r="C63" s="16" t="s">
        <v>134</v>
      </c>
      <c r="D63" s="16" t="s">
        <v>224</v>
      </c>
      <c r="E63" s="16" t="s">
        <v>50</v>
      </c>
      <c r="F63" s="16" t="s">
        <v>60</v>
      </c>
      <c r="G63" s="17" t="n">
        <v>30</v>
      </c>
      <c r="H63" s="18" t="s">
        <v>30</v>
      </c>
      <c r="I63" s="19" t="s">
        <v>35</v>
      </c>
      <c r="J63" s="20" t="s">
        <v>64</v>
      </c>
      <c r="K63" s="20" t="s">
        <v>220</v>
      </c>
    </row>
    <row r="64" customFormat="false" ht="23.85" hidden="false" customHeight="false" outlineLevel="0" collapsed="false">
      <c r="A64" s="15" t="s">
        <v>225</v>
      </c>
      <c r="B64" s="16" t="s">
        <v>21</v>
      </c>
      <c r="C64" s="16" t="s">
        <v>66</v>
      </c>
      <c r="D64" s="16" t="s">
        <v>226</v>
      </c>
      <c r="E64" s="16" t="s">
        <v>68</v>
      </c>
      <c r="F64" s="16" t="s">
        <v>69</v>
      </c>
      <c r="G64" s="17" t="n">
        <v>30</v>
      </c>
      <c r="H64" s="21" t="s">
        <v>31</v>
      </c>
      <c r="I64" s="19" t="s">
        <v>35</v>
      </c>
      <c r="J64" s="20" t="s">
        <v>70</v>
      </c>
      <c r="K64" s="20" t="s">
        <v>71</v>
      </c>
    </row>
    <row r="65" customFormat="false" ht="15" hidden="false" customHeight="false" outlineLevel="0" collapsed="false">
      <c r="A65" s="15" t="s">
        <v>227</v>
      </c>
      <c r="B65" s="16" t="s">
        <v>21</v>
      </c>
      <c r="C65" s="16" t="s">
        <v>134</v>
      </c>
      <c r="D65" s="16" t="s">
        <v>228</v>
      </c>
      <c r="E65" s="16" t="s">
        <v>50</v>
      </c>
      <c r="F65" s="16" t="s">
        <v>51</v>
      </c>
      <c r="G65" s="17" t="n">
        <v>30</v>
      </c>
      <c r="H65" s="18" t="s">
        <v>30</v>
      </c>
      <c r="I65" s="19" t="s">
        <v>35</v>
      </c>
      <c r="J65" s="20" t="s">
        <v>229</v>
      </c>
      <c r="K65" s="20" t="s">
        <v>230</v>
      </c>
    </row>
    <row r="66" customFormat="false" ht="15" hidden="false" customHeight="false" outlineLevel="0" collapsed="false">
      <c r="A66" s="15" t="s">
        <v>231</v>
      </c>
      <c r="B66" s="16" t="s">
        <v>21</v>
      </c>
      <c r="C66" s="16" t="s">
        <v>134</v>
      </c>
      <c r="D66" s="16" t="s">
        <v>232</v>
      </c>
      <c r="E66" s="16" t="s">
        <v>50</v>
      </c>
      <c r="F66" s="16" t="s">
        <v>51</v>
      </c>
      <c r="G66" s="17" t="n">
        <v>30</v>
      </c>
      <c r="H66" s="18" t="s">
        <v>30</v>
      </c>
      <c r="I66" s="19" t="s">
        <v>35</v>
      </c>
      <c r="J66" s="20" t="s">
        <v>233</v>
      </c>
      <c r="K66" s="20" t="s">
        <v>230</v>
      </c>
    </row>
    <row r="67" customFormat="false" ht="15" hidden="false" customHeight="false" outlineLevel="0" collapsed="false">
      <c r="A67" s="15" t="s">
        <v>234</v>
      </c>
      <c r="B67" s="16" t="s">
        <v>21</v>
      </c>
      <c r="C67" s="16" t="s">
        <v>134</v>
      </c>
      <c r="D67" s="16" t="s">
        <v>235</v>
      </c>
      <c r="E67" s="16" t="s">
        <v>50</v>
      </c>
      <c r="F67" s="16" t="s">
        <v>60</v>
      </c>
      <c r="G67" s="17" t="n">
        <v>30</v>
      </c>
      <c r="H67" s="18" t="s">
        <v>30</v>
      </c>
      <c r="I67" s="19" t="s">
        <v>35</v>
      </c>
      <c r="J67" s="20" t="s">
        <v>61</v>
      </c>
      <c r="K67" s="20" t="s">
        <v>230</v>
      </c>
    </row>
    <row r="68" customFormat="false" ht="15" hidden="false" customHeight="false" outlineLevel="0" collapsed="false">
      <c r="A68" s="15" t="s">
        <v>236</v>
      </c>
      <c r="B68" s="16" t="s">
        <v>21</v>
      </c>
      <c r="C68" s="16" t="s">
        <v>134</v>
      </c>
      <c r="D68" s="16" t="s">
        <v>237</v>
      </c>
      <c r="E68" s="16" t="s">
        <v>50</v>
      </c>
      <c r="F68" s="16" t="s">
        <v>60</v>
      </c>
      <c r="G68" s="17" t="n">
        <v>30</v>
      </c>
      <c r="H68" s="18" t="s">
        <v>30</v>
      </c>
      <c r="I68" s="19" t="s">
        <v>35</v>
      </c>
      <c r="J68" s="20" t="s">
        <v>64</v>
      </c>
      <c r="K68" s="20" t="s">
        <v>230</v>
      </c>
    </row>
    <row r="69" customFormat="false" ht="23.85" hidden="false" customHeight="false" outlineLevel="0" collapsed="false">
      <c r="A69" s="15" t="s">
        <v>238</v>
      </c>
      <c r="B69" s="16" t="s">
        <v>21</v>
      </c>
      <c r="C69" s="16" t="s">
        <v>66</v>
      </c>
      <c r="D69" s="16" t="s">
        <v>239</v>
      </c>
      <c r="E69" s="16" t="s">
        <v>68</v>
      </c>
      <c r="F69" s="16" t="s">
        <v>69</v>
      </c>
      <c r="G69" s="17" t="n">
        <v>30</v>
      </c>
      <c r="H69" s="21" t="s">
        <v>31</v>
      </c>
      <c r="I69" s="19" t="s">
        <v>35</v>
      </c>
      <c r="J69" s="20" t="s">
        <v>70</v>
      </c>
      <c r="K69" s="20" t="s">
        <v>71</v>
      </c>
    </row>
    <row r="70" customFormat="false" ht="15" hidden="false" customHeight="false" outlineLevel="0" collapsed="false">
      <c r="A70" s="15" t="s">
        <v>240</v>
      </c>
      <c r="B70" s="16" t="s">
        <v>21</v>
      </c>
      <c r="C70" s="16" t="s">
        <v>134</v>
      </c>
      <c r="D70" s="16" t="s">
        <v>241</v>
      </c>
      <c r="E70" s="16" t="s">
        <v>50</v>
      </c>
      <c r="F70" s="16" t="s">
        <v>51</v>
      </c>
      <c r="G70" s="17" t="n">
        <v>30</v>
      </c>
      <c r="H70" s="18" t="s">
        <v>30</v>
      </c>
      <c r="I70" s="19" t="s">
        <v>35</v>
      </c>
      <c r="J70" s="20" t="s">
        <v>242</v>
      </c>
      <c r="K70" s="20" t="s">
        <v>243</v>
      </c>
    </row>
    <row r="71" customFormat="false" ht="15" hidden="false" customHeight="false" outlineLevel="0" collapsed="false">
      <c r="A71" s="15" t="s">
        <v>244</v>
      </c>
      <c r="B71" s="16" t="s">
        <v>21</v>
      </c>
      <c r="C71" s="16" t="s">
        <v>134</v>
      </c>
      <c r="D71" s="16" t="s">
        <v>245</v>
      </c>
      <c r="E71" s="16" t="s">
        <v>50</v>
      </c>
      <c r="F71" s="16" t="s">
        <v>51</v>
      </c>
      <c r="G71" s="17" t="n">
        <v>30</v>
      </c>
      <c r="H71" s="18" t="s">
        <v>30</v>
      </c>
      <c r="I71" s="19" t="s">
        <v>35</v>
      </c>
      <c r="J71" s="20" t="s">
        <v>245</v>
      </c>
      <c r="K71" s="20" t="s">
        <v>246</v>
      </c>
    </row>
    <row r="72" customFormat="false" ht="15" hidden="false" customHeight="false" outlineLevel="0" collapsed="false">
      <c r="A72" s="15" t="s">
        <v>247</v>
      </c>
      <c r="B72" s="16" t="s">
        <v>21</v>
      </c>
      <c r="C72" s="16" t="s">
        <v>134</v>
      </c>
      <c r="D72" s="16" t="s">
        <v>248</v>
      </c>
      <c r="E72" s="16" t="s">
        <v>50</v>
      </c>
      <c r="F72" s="16" t="s">
        <v>51</v>
      </c>
      <c r="G72" s="17" t="n">
        <v>30</v>
      </c>
      <c r="H72" s="18" t="s">
        <v>30</v>
      </c>
      <c r="I72" s="19" t="s">
        <v>35</v>
      </c>
      <c r="J72" s="20" t="s">
        <v>249</v>
      </c>
      <c r="K72" s="20" t="s">
        <v>185</v>
      </c>
    </row>
    <row r="73" customFormat="false" ht="15" hidden="false" customHeight="false" outlineLevel="0" collapsed="false">
      <c r="A73" s="15" t="s">
        <v>250</v>
      </c>
      <c r="B73" s="16" t="s">
        <v>21</v>
      </c>
      <c r="C73" s="16" t="s">
        <v>134</v>
      </c>
      <c r="D73" s="16" t="s">
        <v>251</v>
      </c>
      <c r="E73" s="16" t="s">
        <v>50</v>
      </c>
      <c r="F73" s="16" t="s">
        <v>60</v>
      </c>
      <c r="G73" s="17" t="n">
        <v>30</v>
      </c>
      <c r="H73" s="18" t="s">
        <v>30</v>
      </c>
      <c r="I73" s="19" t="s">
        <v>35</v>
      </c>
      <c r="J73" s="20" t="s">
        <v>61</v>
      </c>
      <c r="K73" s="20" t="s">
        <v>185</v>
      </c>
    </row>
    <row r="74" customFormat="false" ht="15" hidden="false" customHeight="false" outlineLevel="0" collapsed="false">
      <c r="A74" s="15" t="s">
        <v>252</v>
      </c>
      <c r="B74" s="16" t="s">
        <v>21</v>
      </c>
      <c r="C74" s="16" t="s">
        <v>134</v>
      </c>
      <c r="D74" s="16" t="s">
        <v>253</v>
      </c>
      <c r="E74" s="16" t="s">
        <v>50</v>
      </c>
      <c r="F74" s="16" t="s">
        <v>60</v>
      </c>
      <c r="G74" s="17" t="n">
        <v>30</v>
      </c>
      <c r="H74" s="18" t="s">
        <v>30</v>
      </c>
      <c r="I74" s="19" t="s">
        <v>35</v>
      </c>
      <c r="J74" s="20" t="s">
        <v>64</v>
      </c>
      <c r="K74" s="20" t="s">
        <v>185</v>
      </c>
    </row>
    <row r="75" customFormat="false" ht="23.85" hidden="false" customHeight="false" outlineLevel="0" collapsed="false">
      <c r="A75" s="15" t="s">
        <v>254</v>
      </c>
      <c r="B75" s="16" t="s">
        <v>21</v>
      </c>
      <c r="C75" s="16" t="s">
        <v>66</v>
      </c>
      <c r="D75" s="16" t="s">
        <v>255</v>
      </c>
      <c r="E75" s="16" t="s">
        <v>68</v>
      </c>
      <c r="F75" s="16" t="s">
        <v>69</v>
      </c>
      <c r="G75" s="17" t="n">
        <v>30</v>
      </c>
      <c r="H75" s="21" t="s">
        <v>31</v>
      </c>
      <c r="I75" s="19" t="s">
        <v>35</v>
      </c>
      <c r="J75" s="20" t="s">
        <v>70</v>
      </c>
      <c r="K75" s="20" t="s">
        <v>71</v>
      </c>
    </row>
    <row r="76" customFormat="false" ht="15" hidden="false" customHeight="false" outlineLevel="0" collapsed="false">
      <c r="A76" s="15" t="s">
        <v>256</v>
      </c>
      <c r="B76" s="16" t="s">
        <v>21</v>
      </c>
      <c r="C76" s="16" t="s">
        <v>257</v>
      </c>
      <c r="D76" s="16" t="s">
        <v>258</v>
      </c>
      <c r="E76" s="16" t="s">
        <v>68</v>
      </c>
      <c r="F76" s="16" t="s">
        <v>259</v>
      </c>
      <c r="G76" s="17" t="n">
        <v>30</v>
      </c>
      <c r="H76" s="18" t="s">
        <v>30</v>
      </c>
      <c r="I76" s="19" t="s">
        <v>35</v>
      </c>
      <c r="J76" s="20" t="s">
        <v>260</v>
      </c>
      <c r="K76" s="20" t="s">
        <v>261</v>
      </c>
    </row>
    <row r="77" customFormat="false" ht="15" hidden="false" customHeight="false" outlineLevel="0" collapsed="false">
      <c r="A77" s="15" t="s">
        <v>262</v>
      </c>
      <c r="B77" s="16" t="s">
        <v>21</v>
      </c>
      <c r="C77" s="16" t="s">
        <v>257</v>
      </c>
      <c r="D77" s="16" t="s">
        <v>263</v>
      </c>
      <c r="E77" s="16" t="s">
        <v>68</v>
      </c>
      <c r="F77" s="16" t="s">
        <v>259</v>
      </c>
      <c r="G77" s="17" t="n">
        <v>30</v>
      </c>
      <c r="H77" s="18" t="s">
        <v>30</v>
      </c>
      <c r="I77" s="19" t="s">
        <v>35</v>
      </c>
      <c r="J77" s="20" t="s">
        <v>264</v>
      </c>
      <c r="K77" s="20" t="s">
        <v>261</v>
      </c>
    </row>
    <row r="78" customFormat="false" ht="15" hidden="false" customHeight="false" outlineLevel="0" collapsed="false">
      <c r="A78" s="15" t="s">
        <v>265</v>
      </c>
      <c r="B78" s="16" t="s">
        <v>21</v>
      </c>
      <c r="C78" s="16" t="s">
        <v>257</v>
      </c>
      <c r="D78" s="16" t="s">
        <v>266</v>
      </c>
      <c r="E78" s="16" t="s">
        <v>68</v>
      </c>
      <c r="F78" s="16" t="s">
        <v>259</v>
      </c>
      <c r="G78" s="17" t="n">
        <v>30</v>
      </c>
      <c r="H78" s="18" t="s">
        <v>30</v>
      </c>
      <c r="I78" s="19" t="s">
        <v>35</v>
      </c>
      <c r="J78" s="20" t="s">
        <v>267</v>
      </c>
      <c r="K78" s="20" t="s">
        <v>268</v>
      </c>
    </row>
    <row r="79" customFormat="false" ht="15" hidden="false" customHeight="false" outlineLevel="0" collapsed="false">
      <c r="A79" s="15" t="s">
        <v>269</v>
      </c>
      <c r="B79" s="16" t="s">
        <v>21</v>
      </c>
      <c r="C79" s="16" t="s">
        <v>257</v>
      </c>
      <c r="D79" s="16" t="s">
        <v>270</v>
      </c>
      <c r="E79" s="16" t="s">
        <v>68</v>
      </c>
      <c r="F79" s="16" t="s">
        <v>259</v>
      </c>
      <c r="G79" s="17" t="n">
        <v>30</v>
      </c>
      <c r="H79" s="18" t="s">
        <v>30</v>
      </c>
      <c r="I79" s="19" t="s">
        <v>35</v>
      </c>
      <c r="J79" s="20" t="s">
        <v>271</v>
      </c>
      <c r="K79" s="20" t="s">
        <v>272</v>
      </c>
    </row>
    <row r="80" customFormat="false" ht="15" hidden="false" customHeight="false" outlineLevel="0" collapsed="false">
      <c r="A80" s="15" t="s">
        <v>273</v>
      </c>
      <c r="B80" s="16" t="s">
        <v>21</v>
      </c>
      <c r="C80" s="16" t="s">
        <v>257</v>
      </c>
      <c r="D80" s="16" t="s">
        <v>274</v>
      </c>
      <c r="E80" s="16" t="s">
        <v>68</v>
      </c>
      <c r="F80" s="16" t="s">
        <v>259</v>
      </c>
      <c r="G80" s="17" t="n">
        <v>30</v>
      </c>
      <c r="H80" s="18" t="s">
        <v>30</v>
      </c>
      <c r="I80" s="19" t="s">
        <v>35</v>
      </c>
      <c r="J80" s="20" t="s">
        <v>275</v>
      </c>
      <c r="K80" s="20" t="s">
        <v>276</v>
      </c>
    </row>
    <row r="81" customFormat="false" ht="15" hidden="false" customHeight="false" outlineLevel="0" collapsed="false">
      <c r="A81" s="15" t="s">
        <v>277</v>
      </c>
      <c r="B81" s="16" t="s">
        <v>21</v>
      </c>
      <c r="C81" s="16" t="s">
        <v>257</v>
      </c>
      <c r="D81" s="16" t="s">
        <v>278</v>
      </c>
      <c r="E81" s="16" t="s">
        <v>68</v>
      </c>
      <c r="F81" s="16" t="s">
        <v>259</v>
      </c>
      <c r="G81" s="17" t="n">
        <v>30</v>
      </c>
      <c r="H81" s="18" t="s">
        <v>30</v>
      </c>
      <c r="I81" s="19" t="s">
        <v>35</v>
      </c>
      <c r="J81" s="20" t="s">
        <v>279</v>
      </c>
      <c r="K81" s="20" t="s">
        <v>276</v>
      </c>
    </row>
    <row r="82" customFormat="false" ht="15" hidden="false" customHeight="false" outlineLevel="0" collapsed="false">
      <c r="A82" s="15" t="s">
        <v>280</v>
      </c>
      <c r="B82" s="16" t="s">
        <v>21</v>
      </c>
      <c r="C82" s="16" t="s">
        <v>257</v>
      </c>
      <c r="D82" s="16" t="s">
        <v>281</v>
      </c>
      <c r="E82" s="16" t="s">
        <v>68</v>
      </c>
      <c r="F82" s="16" t="s">
        <v>259</v>
      </c>
      <c r="G82" s="17" t="n">
        <v>30</v>
      </c>
      <c r="H82" s="18" t="s">
        <v>30</v>
      </c>
      <c r="I82" s="22" t="s">
        <v>36</v>
      </c>
      <c r="J82" s="20" t="s">
        <v>282</v>
      </c>
      <c r="K82" s="20" t="s">
        <v>283</v>
      </c>
    </row>
    <row r="83" customFormat="false" ht="15" hidden="false" customHeight="false" outlineLevel="0" collapsed="false">
      <c r="A83" s="15" t="s">
        <v>284</v>
      </c>
      <c r="B83" s="16" t="s">
        <v>21</v>
      </c>
      <c r="C83" s="16" t="s">
        <v>257</v>
      </c>
      <c r="D83" s="16" t="s">
        <v>285</v>
      </c>
      <c r="E83" s="16" t="s">
        <v>68</v>
      </c>
      <c r="F83" s="16" t="s">
        <v>259</v>
      </c>
      <c r="G83" s="17" t="n">
        <v>30</v>
      </c>
      <c r="H83" s="18" t="s">
        <v>30</v>
      </c>
      <c r="I83" s="22" t="s">
        <v>36</v>
      </c>
      <c r="J83" s="20" t="s">
        <v>286</v>
      </c>
      <c r="K83" s="20" t="s">
        <v>287</v>
      </c>
    </row>
    <row r="84" customFormat="false" ht="15" hidden="false" customHeight="false" outlineLevel="0" collapsed="false">
      <c r="A84" s="15" t="s">
        <v>288</v>
      </c>
      <c r="B84" s="16" t="s">
        <v>21</v>
      </c>
      <c r="C84" s="16" t="s">
        <v>289</v>
      </c>
      <c r="D84" s="16" t="s">
        <v>290</v>
      </c>
      <c r="E84" s="16" t="s">
        <v>50</v>
      </c>
      <c r="F84" s="16" t="s">
        <v>60</v>
      </c>
      <c r="G84" s="17" t="n">
        <v>30</v>
      </c>
      <c r="H84" s="18" t="s">
        <v>30</v>
      </c>
      <c r="I84" s="19" t="s">
        <v>35</v>
      </c>
      <c r="J84" s="20" t="s">
        <v>291</v>
      </c>
      <c r="K84" s="20" t="s">
        <v>292</v>
      </c>
    </row>
    <row r="85" customFormat="false" ht="15" hidden="false" customHeight="false" outlineLevel="0" collapsed="false">
      <c r="A85" s="15" t="s">
        <v>293</v>
      </c>
      <c r="B85" s="16" t="s">
        <v>21</v>
      </c>
      <c r="C85" s="16" t="s">
        <v>289</v>
      </c>
      <c r="D85" s="16" t="s">
        <v>294</v>
      </c>
      <c r="E85" s="16" t="s">
        <v>50</v>
      </c>
      <c r="F85" s="16" t="s">
        <v>60</v>
      </c>
      <c r="G85" s="17" t="n">
        <v>30</v>
      </c>
      <c r="H85" s="18" t="s">
        <v>30</v>
      </c>
      <c r="I85" s="19" t="s">
        <v>35</v>
      </c>
      <c r="J85" s="20" t="s">
        <v>295</v>
      </c>
      <c r="K85" s="20" t="s">
        <v>292</v>
      </c>
    </row>
    <row r="86" customFormat="false" ht="15" hidden="false" customHeight="false" outlineLevel="0" collapsed="false">
      <c r="A86" s="15" t="s">
        <v>296</v>
      </c>
      <c r="B86" s="16" t="s">
        <v>21</v>
      </c>
      <c r="C86" s="16" t="s">
        <v>289</v>
      </c>
      <c r="D86" s="16" t="s">
        <v>297</v>
      </c>
      <c r="E86" s="16" t="s">
        <v>50</v>
      </c>
      <c r="F86" s="16" t="s">
        <v>60</v>
      </c>
      <c r="G86" s="17" t="n">
        <v>30</v>
      </c>
      <c r="H86" s="18" t="s">
        <v>30</v>
      </c>
      <c r="I86" s="19" t="s">
        <v>35</v>
      </c>
      <c r="J86" s="20" t="s">
        <v>298</v>
      </c>
      <c r="K86" s="20" t="s">
        <v>299</v>
      </c>
    </row>
    <row r="87" customFormat="false" ht="15" hidden="false" customHeight="false" outlineLevel="0" collapsed="false">
      <c r="A87" s="15" t="s">
        <v>300</v>
      </c>
      <c r="B87" s="16" t="s">
        <v>21</v>
      </c>
      <c r="C87" s="16" t="s">
        <v>289</v>
      </c>
      <c r="D87" s="16" t="s">
        <v>301</v>
      </c>
      <c r="E87" s="16" t="s">
        <v>50</v>
      </c>
      <c r="F87" s="16" t="s">
        <v>60</v>
      </c>
      <c r="G87" s="17" t="n">
        <v>30</v>
      </c>
      <c r="H87" s="18" t="s">
        <v>30</v>
      </c>
      <c r="I87" s="19" t="s">
        <v>35</v>
      </c>
      <c r="J87" s="20" t="s">
        <v>302</v>
      </c>
      <c r="K87" s="20" t="s">
        <v>303</v>
      </c>
    </row>
    <row r="88" customFormat="false" ht="15" hidden="false" customHeight="false" outlineLevel="0" collapsed="false">
      <c r="A88" s="15" t="s">
        <v>304</v>
      </c>
      <c r="B88" s="16" t="s">
        <v>21</v>
      </c>
      <c r="C88" s="16" t="s">
        <v>305</v>
      </c>
      <c r="D88" s="16" t="s">
        <v>306</v>
      </c>
      <c r="E88" s="16" t="s">
        <v>68</v>
      </c>
      <c r="F88" s="16" t="s">
        <v>307</v>
      </c>
      <c r="G88" s="17" t="n">
        <v>30</v>
      </c>
      <c r="H88" s="18" t="s">
        <v>30</v>
      </c>
      <c r="I88" s="19" t="s">
        <v>35</v>
      </c>
      <c r="J88" s="20" t="s">
        <v>308</v>
      </c>
      <c r="K88" s="20" t="s">
        <v>309</v>
      </c>
    </row>
    <row r="89" customFormat="false" ht="15" hidden="false" customHeight="false" outlineLevel="0" collapsed="false">
      <c r="A89" s="15" t="s">
        <v>310</v>
      </c>
      <c r="B89" s="16" t="s">
        <v>21</v>
      </c>
      <c r="C89" s="16" t="s">
        <v>305</v>
      </c>
      <c r="D89" s="16" t="s">
        <v>311</v>
      </c>
      <c r="E89" s="16" t="s">
        <v>68</v>
      </c>
      <c r="F89" s="16" t="s">
        <v>307</v>
      </c>
      <c r="G89" s="17" t="n">
        <v>30</v>
      </c>
      <c r="H89" s="18" t="s">
        <v>30</v>
      </c>
      <c r="I89" s="19" t="s">
        <v>35</v>
      </c>
      <c r="J89" s="20" t="s">
        <v>312</v>
      </c>
      <c r="K89" s="20" t="s">
        <v>313</v>
      </c>
    </row>
    <row r="90" customFormat="false" ht="15" hidden="false" customHeight="false" outlineLevel="0" collapsed="false">
      <c r="A90" s="15" t="s">
        <v>314</v>
      </c>
      <c r="B90" s="16" t="s">
        <v>21</v>
      </c>
      <c r="C90" s="16" t="s">
        <v>305</v>
      </c>
      <c r="D90" s="16" t="s">
        <v>315</v>
      </c>
      <c r="E90" s="16" t="s">
        <v>68</v>
      </c>
      <c r="F90" s="16" t="s">
        <v>307</v>
      </c>
      <c r="G90" s="17" t="n">
        <v>30</v>
      </c>
      <c r="H90" s="18" t="s">
        <v>30</v>
      </c>
      <c r="I90" s="19" t="s">
        <v>35</v>
      </c>
      <c r="J90" s="20" t="s">
        <v>316</v>
      </c>
      <c r="K90" s="20" t="s">
        <v>317</v>
      </c>
    </row>
    <row r="91" customFormat="false" ht="23.85" hidden="false" customHeight="false" outlineLevel="0" collapsed="false">
      <c r="A91" s="15" t="s">
        <v>318</v>
      </c>
      <c r="B91" s="16" t="s">
        <v>21</v>
      </c>
      <c r="C91" s="16" t="s">
        <v>305</v>
      </c>
      <c r="D91" s="16" t="s">
        <v>319</v>
      </c>
      <c r="E91" s="16" t="s">
        <v>68</v>
      </c>
      <c r="F91" s="16" t="s">
        <v>320</v>
      </c>
      <c r="G91" s="17" t="n">
        <v>30</v>
      </c>
      <c r="H91" s="18" t="s">
        <v>30</v>
      </c>
      <c r="I91" s="19" t="s">
        <v>35</v>
      </c>
      <c r="J91" s="20" t="s">
        <v>321</v>
      </c>
      <c r="K91" s="20" t="s">
        <v>322</v>
      </c>
    </row>
    <row r="92" customFormat="false" ht="15" hidden="false" customHeight="false" outlineLevel="0" collapsed="false">
      <c r="A92" s="15" t="s">
        <v>323</v>
      </c>
      <c r="B92" s="16" t="s">
        <v>21</v>
      </c>
      <c r="C92" s="16" t="s">
        <v>324</v>
      </c>
      <c r="D92" s="16" t="s">
        <v>325</v>
      </c>
      <c r="E92" s="16" t="s">
        <v>68</v>
      </c>
      <c r="F92" s="16" t="s">
        <v>326</v>
      </c>
      <c r="G92" s="17" t="n">
        <v>30</v>
      </c>
      <c r="H92" s="18" t="s">
        <v>30</v>
      </c>
      <c r="I92" s="19" t="s">
        <v>35</v>
      </c>
      <c r="J92" s="20" t="s">
        <v>327</v>
      </c>
      <c r="K92" s="20" t="s">
        <v>328</v>
      </c>
    </row>
    <row r="93" customFormat="false" ht="15" hidden="false" customHeight="false" outlineLevel="0" collapsed="false">
      <c r="A93" s="15" t="s">
        <v>329</v>
      </c>
      <c r="B93" s="16" t="s">
        <v>21</v>
      </c>
      <c r="C93" s="16" t="s">
        <v>324</v>
      </c>
      <c r="D93" s="16" t="s">
        <v>330</v>
      </c>
      <c r="E93" s="16" t="s">
        <v>68</v>
      </c>
      <c r="F93" s="16" t="s">
        <v>331</v>
      </c>
      <c r="G93" s="17" t="n">
        <v>30</v>
      </c>
      <c r="H93" s="18" t="s">
        <v>30</v>
      </c>
      <c r="I93" s="19" t="s">
        <v>35</v>
      </c>
      <c r="J93" s="20" t="s">
        <v>332</v>
      </c>
      <c r="K93" s="20" t="s">
        <v>333</v>
      </c>
    </row>
    <row r="94" customFormat="false" ht="15" hidden="false" customHeight="false" outlineLevel="0" collapsed="false">
      <c r="A94" s="15" t="s">
        <v>334</v>
      </c>
      <c r="B94" s="16" t="s">
        <v>21</v>
      </c>
      <c r="C94" s="16" t="s">
        <v>324</v>
      </c>
      <c r="D94" s="16" t="s">
        <v>335</v>
      </c>
      <c r="E94" s="16" t="s">
        <v>68</v>
      </c>
      <c r="F94" s="16" t="s">
        <v>336</v>
      </c>
      <c r="G94" s="17" t="n">
        <v>30</v>
      </c>
      <c r="H94" s="18" t="s">
        <v>30</v>
      </c>
      <c r="I94" s="19" t="s">
        <v>35</v>
      </c>
      <c r="J94" s="20" t="s">
        <v>337</v>
      </c>
      <c r="K94" s="20" t="s">
        <v>338</v>
      </c>
    </row>
    <row r="95" customFormat="false" ht="15" hidden="false" customHeight="false" outlineLevel="0" collapsed="false">
      <c r="A95" s="15" t="s">
        <v>339</v>
      </c>
      <c r="B95" s="16" t="s">
        <v>21</v>
      </c>
      <c r="C95" s="16" t="s">
        <v>324</v>
      </c>
      <c r="D95" s="16" t="s">
        <v>340</v>
      </c>
      <c r="E95" s="16" t="s">
        <v>68</v>
      </c>
      <c r="F95" s="16" t="s">
        <v>341</v>
      </c>
      <c r="G95" s="17" t="n">
        <v>30</v>
      </c>
      <c r="H95" s="21" t="s">
        <v>31</v>
      </c>
      <c r="I95" s="19" t="s">
        <v>35</v>
      </c>
      <c r="J95" s="20" t="s">
        <v>342</v>
      </c>
      <c r="K95" s="20" t="s">
        <v>343</v>
      </c>
    </row>
    <row r="96" customFormat="false" ht="15" hidden="false" customHeight="false" outlineLevel="0" collapsed="false">
      <c r="A96" s="15" t="s">
        <v>344</v>
      </c>
      <c r="B96" s="16" t="s">
        <v>21</v>
      </c>
      <c r="C96" s="16" t="s">
        <v>345</v>
      </c>
      <c r="D96" s="16" t="s">
        <v>346</v>
      </c>
      <c r="E96" s="16" t="s">
        <v>68</v>
      </c>
      <c r="F96" s="16" t="s">
        <v>347</v>
      </c>
      <c r="G96" s="17" t="n">
        <v>30</v>
      </c>
      <c r="H96" s="18" t="s">
        <v>30</v>
      </c>
      <c r="I96" s="19" t="s">
        <v>35</v>
      </c>
      <c r="J96" s="20" t="s">
        <v>348</v>
      </c>
      <c r="K96" s="20" t="s">
        <v>349</v>
      </c>
    </row>
    <row r="97" customFormat="false" ht="15" hidden="false" customHeight="false" outlineLevel="0" collapsed="false">
      <c r="A97" s="15" t="s">
        <v>350</v>
      </c>
      <c r="B97" s="16" t="s">
        <v>21</v>
      </c>
      <c r="C97" s="16" t="s">
        <v>345</v>
      </c>
      <c r="D97" s="16" t="s">
        <v>351</v>
      </c>
      <c r="E97" s="16" t="s">
        <v>68</v>
      </c>
      <c r="F97" s="16" t="s">
        <v>347</v>
      </c>
      <c r="G97" s="17" t="n">
        <v>30</v>
      </c>
      <c r="H97" s="18" t="s">
        <v>30</v>
      </c>
      <c r="I97" s="19" t="s">
        <v>35</v>
      </c>
      <c r="J97" s="20" t="s">
        <v>352</v>
      </c>
      <c r="K97" s="20" t="s">
        <v>353</v>
      </c>
    </row>
    <row r="98" customFormat="false" ht="15" hidden="false" customHeight="false" outlineLevel="0" collapsed="false">
      <c r="A98" s="15" t="s">
        <v>354</v>
      </c>
      <c r="B98" s="16" t="s">
        <v>21</v>
      </c>
      <c r="C98" s="16" t="s">
        <v>345</v>
      </c>
      <c r="D98" s="16" t="s">
        <v>355</v>
      </c>
      <c r="E98" s="16" t="s">
        <v>68</v>
      </c>
      <c r="F98" s="16" t="s">
        <v>356</v>
      </c>
      <c r="G98" s="17" t="n">
        <v>30</v>
      </c>
      <c r="H98" s="18" t="s">
        <v>30</v>
      </c>
      <c r="I98" s="19" t="s">
        <v>35</v>
      </c>
      <c r="J98" s="20" t="s">
        <v>357</v>
      </c>
      <c r="K98" s="20" t="s">
        <v>358</v>
      </c>
    </row>
    <row r="99" customFormat="false" ht="23.85" hidden="false" customHeight="false" outlineLevel="0" collapsed="false">
      <c r="A99" s="15" t="s">
        <v>359</v>
      </c>
      <c r="B99" s="16" t="s">
        <v>21</v>
      </c>
      <c r="C99" s="16" t="s">
        <v>345</v>
      </c>
      <c r="D99" s="16" t="s">
        <v>360</v>
      </c>
      <c r="E99" s="16" t="s">
        <v>68</v>
      </c>
      <c r="F99" s="16" t="s">
        <v>361</v>
      </c>
      <c r="G99" s="17" t="n">
        <v>1</v>
      </c>
      <c r="H99" s="21" t="s">
        <v>31</v>
      </c>
      <c r="I99" s="19" t="s">
        <v>35</v>
      </c>
      <c r="J99" s="20" t="s">
        <v>362</v>
      </c>
      <c r="K99" s="20" t="s">
        <v>363</v>
      </c>
    </row>
    <row r="100" customFormat="false" ht="15" hidden="false" customHeight="false" outlineLevel="0" collapsed="false">
      <c r="A100" s="15" t="s">
        <v>364</v>
      </c>
      <c r="B100" s="16" t="s">
        <v>21</v>
      </c>
      <c r="C100" s="16" t="s">
        <v>365</v>
      </c>
      <c r="D100" s="16" t="s">
        <v>366</v>
      </c>
      <c r="E100" s="16" t="s">
        <v>68</v>
      </c>
      <c r="F100" s="16" t="s">
        <v>367</v>
      </c>
      <c r="G100" s="17" t="n">
        <v>30</v>
      </c>
      <c r="H100" s="18" t="s">
        <v>30</v>
      </c>
      <c r="I100" s="19" t="s">
        <v>35</v>
      </c>
      <c r="J100" s="20" t="s">
        <v>368</v>
      </c>
      <c r="K100" s="20" t="s">
        <v>369</v>
      </c>
    </row>
    <row r="101" customFormat="false" ht="15" hidden="false" customHeight="false" outlineLevel="0" collapsed="false">
      <c r="A101" s="15" t="s">
        <v>370</v>
      </c>
      <c r="B101" s="16" t="s">
        <v>21</v>
      </c>
      <c r="C101" s="16" t="s">
        <v>365</v>
      </c>
      <c r="D101" s="16" t="s">
        <v>371</v>
      </c>
      <c r="E101" s="16" t="s">
        <v>68</v>
      </c>
      <c r="F101" s="16" t="s">
        <v>372</v>
      </c>
      <c r="G101" s="17" t="n">
        <v>30</v>
      </c>
      <c r="H101" s="18" t="s">
        <v>30</v>
      </c>
      <c r="I101" s="19" t="s">
        <v>35</v>
      </c>
      <c r="J101" s="20" t="s">
        <v>373</v>
      </c>
      <c r="K101" s="20" t="s">
        <v>374</v>
      </c>
    </row>
    <row r="102" customFormat="false" ht="23.85" hidden="false" customHeight="false" outlineLevel="0" collapsed="false">
      <c r="A102" s="15" t="s">
        <v>375</v>
      </c>
      <c r="B102" s="16" t="s">
        <v>21</v>
      </c>
      <c r="C102" s="16" t="s">
        <v>365</v>
      </c>
      <c r="D102" s="16" t="s">
        <v>376</v>
      </c>
      <c r="E102" s="16" t="s">
        <v>68</v>
      </c>
      <c r="F102" s="16" t="s">
        <v>60</v>
      </c>
      <c r="G102" s="17" t="n">
        <v>30</v>
      </c>
      <c r="H102" s="21" t="s">
        <v>31</v>
      </c>
      <c r="I102" s="19" t="s">
        <v>35</v>
      </c>
      <c r="J102" s="20" t="s">
        <v>377</v>
      </c>
      <c r="K102" s="20" t="s">
        <v>378</v>
      </c>
    </row>
    <row r="103" customFormat="false" ht="15" hidden="false" customHeight="false" outlineLevel="0" collapsed="false">
      <c r="A103" s="15" t="s">
        <v>379</v>
      </c>
      <c r="B103" s="16" t="s">
        <v>21</v>
      </c>
      <c r="C103" s="16" t="s">
        <v>365</v>
      </c>
      <c r="D103" s="16" t="s">
        <v>380</v>
      </c>
      <c r="E103" s="16" t="s">
        <v>68</v>
      </c>
      <c r="F103" s="16" t="s">
        <v>60</v>
      </c>
      <c r="G103" s="17" t="n">
        <v>30</v>
      </c>
      <c r="H103" s="21" t="s">
        <v>31</v>
      </c>
      <c r="I103" s="19" t="s">
        <v>35</v>
      </c>
      <c r="J103" s="20" t="s">
        <v>381</v>
      </c>
      <c r="K103" s="20" t="s">
        <v>382</v>
      </c>
    </row>
    <row r="104" customFormat="false" ht="15" hidden="false" customHeight="false" outlineLevel="0" collapsed="false">
      <c r="A104" s="15" t="s">
        <v>383</v>
      </c>
      <c r="B104" s="16" t="s">
        <v>22</v>
      </c>
      <c r="C104" s="16" t="s">
        <v>384</v>
      </c>
      <c r="D104" s="16" t="s">
        <v>385</v>
      </c>
      <c r="E104" s="16" t="s">
        <v>68</v>
      </c>
      <c r="F104" s="16" t="s">
        <v>386</v>
      </c>
      <c r="G104" s="17" t="n">
        <v>15</v>
      </c>
      <c r="H104" s="18" t="s">
        <v>30</v>
      </c>
      <c r="I104" s="19" t="s">
        <v>35</v>
      </c>
      <c r="J104" s="20" t="s">
        <v>387</v>
      </c>
      <c r="K104" s="20" t="s">
        <v>388</v>
      </c>
    </row>
    <row r="105" customFormat="false" ht="15" hidden="false" customHeight="false" outlineLevel="0" collapsed="false">
      <c r="A105" s="15" t="s">
        <v>389</v>
      </c>
      <c r="B105" s="16" t="s">
        <v>22</v>
      </c>
      <c r="C105" s="16" t="s">
        <v>384</v>
      </c>
      <c r="D105" s="16" t="s">
        <v>390</v>
      </c>
      <c r="E105" s="16" t="s">
        <v>68</v>
      </c>
      <c r="F105" s="16" t="s">
        <v>391</v>
      </c>
      <c r="G105" s="17" t="n">
        <v>15</v>
      </c>
      <c r="H105" s="18" t="s">
        <v>30</v>
      </c>
      <c r="I105" s="19" t="s">
        <v>35</v>
      </c>
      <c r="J105" s="20" t="s">
        <v>392</v>
      </c>
      <c r="K105" s="20" t="s">
        <v>393</v>
      </c>
    </row>
    <row r="106" customFormat="false" ht="15" hidden="false" customHeight="false" outlineLevel="0" collapsed="false">
      <c r="A106" s="15" t="s">
        <v>394</v>
      </c>
      <c r="B106" s="16" t="s">
        <v>22</v>
      </c>
      <c r="C106" s="16" t="s">
        <v>384</v>
      </c>
      <c r="D106" s="16" t="s">
        <v>395</v>
      </c>
      <c r="E106" s="16" t="s">
        <v>68</v>
      </c>
      <c r="F106" s="16" t="s">
        <v>396</v>
      </c>
      <c r="G106" s="17" t="n">
        <v>15</v>
      </c>
      <c r="H106" s="18" t="s">
        <v>30</v>
      </c>
      <c r="I106" s="19" t="s">
        <v>35</v>
      </c>
      <c r="J106" s="20" t="s">
        <v>397</v>
      </c>
      <c r="K106" s="20" t="s">
        <v>398</v>
      </c>
    </row>
    <row r="107" customFormat="false" ht="15" hidden="false" customHeight="false" outlineLevel="0" collapsed="false">
      <c r="A107" s="15" t="s">
        <v>399</v>
      </c>
      <c r="B107" s="16" t="s">
        <v>22</v>
      </c>
      <c r="C107" s="16" t="s">
        <v>384</v>
      </c>
      <c r="D107" s="16" t="s">
        <v>400</v>
      </c>
      <c r="E107" s="16" t="s">
        <v>68</v>
      </c>
      <c r="F107" s="16" t="s">
        <v>401</v>
      </c>
      <c r="G107" s="17" t="n">
        <v>15</v>
      </c>
      <c r="H107" s="18" t="s">
        <v>30</v>
      </c>
      <c r="I107" s="19" t="s">
        <v>35</v>
      </c>
      <c r="J107" s="20" t="s">
        <v>402</v>
      </c>
      <c r="K107" s="20" t="s">
        <v>403</v>
      </c>
    </row>
    <row r="108" customFormat="false" ht="15" hidden="false" customHeight="false" outlineLevel="0" collapsed="false">
      <c r="A108" s="15" t="s">
        <v>404</v>
      </c>
      <c r="B108" s="16" t="s">
        <v>22</v>
      </c>
      <c r="C108" s="16" t="s">
        <v>384</v>
      </c>
      <c r="D108" s="16" t="s">
        <v>405</v>
      </c>
      <c r="E108" s="16" t="s">
        <v>68</v>
      </c>
      <c r="F108" s="16" t="s">
        <v>406</v>
      </c>
      <c r="G108" s="17" t="n">
        <v>15</v>
      </c>
      <c r="H108" s="18" t="s">
        <v>30</v>
      </c>
      <c r="I108" s="19" t="s">
        <v>35</v>
      </c>
      <c r="J108" s="20" t="s">
        <v>407</v>
      </c>
      <c r="K108" s="20" t="s">
        <v>408</v>
      </c>
    </row>
    <row r="109" customFormat="false" ht="15" hidden="false" customHeight="false" outlineLevel="0" collapsed="false">
      <c r="A109" s="15" t="s">
        <v>409</v>
      </c>
      <c r="B109" s="16" t="s">
        <v>22</v>
      </c>
      <c r="C109" s="16" t="s">
        <v>384</v>
      </c>
      <c r="D109" s="16" t="s">
        <v>410</v>
      </c>
      <c r="E109" s="16" t="s">
        <v>68</v>
      </c>
      <c r="F109" s="16" t="s">
        <v>411</v>
      </c>
      <c r="G109" s="17" t="n">
        <v>15</v>
      </c>
      <c r="H109" s="18" t="s">
        <v>30</v>
      </c>
      <c r="I109" s="19" t="s">
        <v>35</v>
      </c>
      <c r="J109" s="20" t="s">
        <v>412</v>
      </c>
      <c r="K109" s="20" t="s">
        <v>413</v>
      </c>
    </row>
    <row r="110" customFormat="false" ht="23.85" hidden="false" customHeight="false" outlineLevel="0" collapsed="false">
      <c r="A110" s="15" t="s">
        <v>414</v>
      </c>
      <c r="B110" s="16" t="s">
        <v>22</v>
      </c>
      <c r="C110" s="16" t="s">
        <v>384</v>
      </c>
      <c r="D110" s="16" t="s">
        <v>415</v>
      </c>
      <c r="E110" s="16" t="s">
        <v>68</v>
      </c>
      <c r="F110" s="16" t="s">
        <v>411</v>
      </c>
      <c r="G110" s="17" t="n">
        <v>15</v>
      </c>
      <c r="H110" s="21" t="s">
        <v>31</v>
      </c>
      <c r="I110" s="19" t="s">
        <v>35</v>
      </c>
      <c r="J110" s="20" t="s">
        <v>416</v>
      </c>
      <c r="K110" s="20" t="s">
        <v>417</v>
      </c>
    </row>
    <row r="111" customFormat="false" ht="23.85" hidden="false" customHeight="false" outlineLevel="0" collapsed="false">
      <c r="A111" s="15" t="s">
        <v>418</v>
      </c>
      <c r="B111" s="16" t="s">
        <v>22</v>
      </c>
      <c r="C111" s="16" t="s">
        <v>384</v>
      </c>
      <c r="D111" s="16" t="s">
        <v>419</v>
      </c>
      <c r="E111" s="16" t="s">
        <v>68</v>
      </c>
      <c r="F111" s="16" t="s">
        <v>420</v>
      </c>
      <c r="G111" s="17" t="n">
        <v>15</v>
      </c>
      <c r="H111" s="18" t="s">
        <v>30</v>
      </c>
      <c r="I111" s="22" t="s">
        <v>36</v>
      </c>
      <c r="J111" s="20" t="s">
        <v>421</v>
      </c>
      <c r="K111" s="20" t="s">
        <v>422</v>
      </c>
    </row>
    <row r="112" customFormat="false" ht="15" hidden="false" customHeight="false" outlineLevel="0" collapsed="false">
      <c r="A112" s="15" t="s">
        <v>423</v>
      </c>
      <c r="B112" s="16" t="s">
        <v>22</v>
      </c>
      <c r="C112" s="16" t="s">
        <v>384</v>
      </c>
      <c r="D112" s="16" t="s">
        <v>424</v>
      </c>
      <c r="E112" s="16" t="s">
        <v>68</v>
      </c>
      <c r="F112" s="16" t="s">
        <v>425</v>
      </c>
      <c r="G112" s="17" t="n">
        <v>15</v>
      </c>
      <c r="H112" s="18" t="s">
        <v>30</v>
      </c>
      <c r="I112" s="22" t="s">
        <v>36</v>
      </c>
      <c r="J112" s="20" t="s">
        <v>426</v>
      </c>
      <c r="K112" s="20" t="s">
        <v>358</v>
      </c>
    </row>
    <row r="113" customFormat="false" ht="15" hidden="false" customHeight="false" outlineLevel="0" collapsed="false">
      <c r="A113" s="15" t="s">
        <v>427</v>
      </c>
      <c r="B113" s="16" t="s">
        <v>22</v>
      </c>
      <c r="C113" s="16" t="s">
        <v>384</v>
      </c>
      <c r="D113" s="16" t="s">
        <v>428</v>
      </c>
      <c r="E113" s="16" t="s">
        <v>68</v>
      </c>
      <c r="F113" s="16" t="s">
        <v>429</v>
      </c>
      <c r="G113" s="17" t="n">
        <v>15</v>
      </c>
      <c r="H113" s="18" t="s">
        <v>30</v>
      </c>
      <c r="I113" s="19" t="s">
        <v>35</v>
      </c>
      <c r="J113" s="20" t="s">
        <v>430</v>
      </c>
      <c r="K113" s="20" t="s">
        <v>431</v>
      </c>
    </row>
    <row r="114" customFormat="false" ht="15" hidden="false" customHeight="false" outlineLevel="0" collapsed="false">
      <c r="A114" s="15" t="s">
        <v>432</v>
      </c>
      <c r="B114" s="16" t="s">
        <v>22</v>
      </c>
      <c r="C114" s="16" t="s">
        <v>384</v>
      </c>
      <c r="D114" s="16" t="s">
        <v>433</v>
      </c>
      <c r="E114" s="16" t="s">
        <v>68</v>
      </c>
      <c r="F114" s="16" t="s">
        <v>60</v>
      </c>
      <c r="G114" s="17" t="n">
        <v>15</v>
      </c>
      <c r="H114" s="18" t="s">
        <v>30</v>
      </c>
      <c r="I114" s="19" t="s">
        <v>35</v>
      </c>
      <c r="J114" s="20" t="s">
        <v>434</v>
      </c>
      <c r="K114" s="20" t="s">
        <v>435</v>
      </c>
    </row>
    <row r="115" customFormat="false" ht="23.85" hidden="false" customHeight="false" outlineLevel="0" collapsed="false">
      <c r="A115" s="15" t="s">
        <v>436</v>
      </c>
      <c r="B115" s="16" t="s">
        <v>23</v>
      </c>
      <c r="C115" s="16" t="s">
        <v>437</v>
      </c>
      <c r="D115" s="16" t="s">
        <v>438</v>
      </c>
      <c r="E115" s="16" t="s">
        <v>68</v>
      </c>
      <c r="F115" s="16" t="s">
        <v>439</v>
      </c>
      <c r="G115" s="17" t="n">
        <v>1</v>
      </c>
      <c r="H115" s="18" t="s">
        <v>30</v>
      </c>
      <c r="I115" s="19" t="s">
        <v>35</v>
      </c>
      <c r="J115" s="20" t="s">
        <v>440</v>
      </c>
      <c r="K115" s="20" t="s">
        <v>441</v>
      </c>
    </row>
    <row r="116" customFormat="false" ht="15" hidden="false" customHeight="false" outlineLevel="0" collapsed="false">
      <c r="A116" s="15" t="s">
        <v>442</v>
      </c>
      <c r="B116" s="16" t="s">
        <v>23</v>
      </c>
      <c r="C116" s="16" t="s">
        <v>437</v>
      </c>
      <c r="D116" s="16" t="s">
        <v>443</v>
      </c>
      <c r="E116" s="16" t="s">
        <v>68</v>
      </c>
      <c r="F116" s="16" t="s">
        <v>60</v>
      </c>
      <c r="G116" s="17" t="n">
        <v>1</v>
      </c>
      <c r="H116" s="18" t="s">
        <v>30</v>
      </c>
      <c r="I116" s="19" t="s">
        <v>35</v>
      </c>
      <c r="J116" s="20" t="s">
        <v>444</v>
      </c>
      <c r="K116" s="20" t="s">
        <v>445</v>
      </c>
    </row>
    <row r="117" customFormat="false" ht="23.85" hidden="false" customHeight="false" outlineLevel="0" collapsed="false">
      <c r="A117" s="15" t="s">
        <v>446</v>
      </c>
      <c r="B117" s="16" t="s">
        <v>23</v>
      </c>
      <c r="C117" s="16" t="s">
        <v>437</v>
      </c>
      <c r="D117" s="16" t="s">
        <v>447</v>
      </c>
      <c r="E117" s="16" t="s">
        <v>68</v>
      </c>
      <c r="F117" s="16" t="s">
        <v>448</v>
      </c>
      <c r="G117" s="17" t="n">
        <v>1</v>
      </c>
      <c r="H117" s="18" t="s">
        <v>30</v>
      </c>
      <c r="I117" s="19" t="s">
        <v>35</v>
      </c>
      <c r="J117" s="20" t="s">
        <v>449</v>
      </c>
      <c r="K117" s="20" t="s">
        <v>450</v>
      </c>
    </row>
    <row r="118" customFormat="false" ht="23.85" hidden="false" customHeight="false" outlineLevel="0" collapsed="false">
      <c r="A118" s="15" t="s">
        <v>451</v>
      </c>
      <c r="B118" s="16" t="s">
        <v>23</v>
      </c>
      <c r="C118" s="16" t="s">
        <v>437</v>
      </c>
      <c r="D118" s="16" t="s">
        <v>452</v>
      </c>
      <c r="E118" s="16" t="s">
        <v>68</v>
      </c>
      <c r="F118" s="16" t="s">
        <v>453</v>
      </c>
      <c r="G118" s="17" t="n">
        <v>1</v>
      </c>
      <c r="H118" s="21" t="s">
        <v>31</v>
      </c>
      <c r="I118" s="22" t="s">
        <v>37</v>
      </c>
      <c r="J118" s="20" t="s">
        <v>454</v>
      </c>
      <c r="K118" s="20" t="s">
        <v>455</v>
      </c>
    </row>
    <row r="119" customFormat="false" ht="15" hidden="false" customHeight="false" outlineLevel="0" collapsed="false">
      <c r="A119" s="15" t="s">
        <v>456</v>
      </c>
      <c r="B119" s="16" t="s">
        <v>23</v>
      </c>
      <c r="C119" s="16" t="s">
        <v>437</v>
      </c>
      <c r="D119" s="16" t="s">
        <v>457</v>
      </c>
      <c r="E119" s="16" t="s">
        <v>68</v>
      </c>
      <c r="F119" s="16" t="s">
        <v>458</v>
      </c>
      <c r="G119" s="17" t="n">
        <v>1</v>
      </c>
      <c r="H119" s="21" t="s">
        <v>31</v>
      </c>
      <c r="I119" s="22" t="s">
        <v>37</v>
      </c>
      <c r="J119" s="20" t="s">
        <v>459</v>
      </c>
      <c r="K119" s="20" t="s">
        <v>460</v>
      </c>
    </row>
    <row r="120" customFormat="false" ht="23.85" hidden="false" customHeight="false" outlineLevel="0" collapsed="false">
      <c r="A120" s="15" t="s">
        <v>461</v>
      </c>
      <c r="B120" s="16" t="s">
        <v>23</v>
      </c>
      <c r="C120" s="16" t="s">
        <v>437</v>
      </c>
      <c r="D120" s="16" t="s">
        <v>462</v>
      </c>
      <c r="E120" s="16" t="s">
        <v>68</v>
      </c>
      <c r="F120" s="16" t="s">
        <v>331</v>
      </c>
      <c r="G120" s="17" t="n">
        <v>1</v>
      </c>
      <c r="H120" s="23" t="s">
        <v>32</v>
      </c>
      <c r="I120" s="24" t="s">
        <v>38</v>
      </c>
      <c r="J120" s="20" t="s">
        <v>463</v>
      </c>
      <c r="K120" s="20" t="s">
        <v>464</v>
      </c>
    </row>
    <row r="121" customFormat="false" ht="15" hidden="false" customHeight="false" outlineLevel="0" collapsed="false">
      <c r="A121" s="15" t="s">
        <v>465</v>
      </c>
      <c r="B121" s="16" t="s">
        <v>23</v>
      </c>
      <c r="C121" s="16" t="s">
        <v>437</v>
      </c>
      <c r="D121" s="16" t="s">
        <v>466</v>
      </c>
      <c r="E121" s="16" t="s">
        <v>68</v>
      </c>
      <c r="F121" s="16" t="s">
        <v>331</v>
      </c>
      <c r="G121" s="17" t="n">
        <v>1</v>
      </c>
      <c r="H121" s="23" t="s">
        <v>32</v>
      </c>
      <c r="I121" s="24" t="s">
        <v>38</v>
      </c>
      <c r="J121" s="20" t="s">
        <v>467</v>
      </c>
      <c r="K121" s="20" t="s">
        <v>358</v>
      </c>
    </row>
    <row r="122" customFormat="false" ht="15" hidden="false" customHeight="false" outlineLevel="0" collapsed="false">
      <c r="A122" s="15" t="s">
        <v>468</v>
      </c>
      <c r="B122" s="16" t="s">
        <v>23</v>
      </c>
      <c r="C122" s="16" t="s">
        <v>437</v>
      </c>
      <c r="D122" s="16" t="s">
        <v>469</v>
      </c>
      <c r="E122" s="16" t="s">
        <v>68</v>
      </c>
      <c r="F122" s="16" t="s">
        <v>470</v>
      </c>
      <c r="G122" s="17" t="n">
        <v>1</v>
      </c>
      <c r="H122" s="23" t="s">
        <v>32</v>
      </c>
      <c r="I122" s="24" t="s">
        <v>38</v>
      </c>
      <c r="J122" s="20" t="s">
        <v>471</v>
      </c>
      <c r="K122" s="20" t="s">
        <v>472</v>
      </c>
    </row>
    <row r="123" customFormat="false" ht="15" hidden="false" customHeight="false" outlineLevel="0" collapsed="false">
      <c r="A123" s="15" t="s">
        <v>473</v>
      </c>
      <c r="B123" s="16" t="s">
        <v>24</v>
      </c>
      <c r="C123" s="16" t="s">
        <v>474</v>
      </c>
      <c r="D123" s="16" t="s">
        <v>475</v>
      </c>
      <c r="E123" s="16" t="s">
        <v>68</v>
      </c>
      <c r="F123" s="16" t="s">
        <v>476</v>
      </c>
      <c r="G123" s="17" t="n">
        <v>10</v>
      </c>
      <c r="H123" s="18" t="s">
        <v>30</v>
      </c>
      <c r="I123" s="22" t="s">
        <v>36</v>
      </c>
      <c r="J123" s="20" t="s">
        <v>477</v>
      </c>
      <c r="K123" s="20" t="s">
        <v>478</v>
      </c>
    </row>
    <row r="124" customFormat="false" ht="15" hidden="false" customHeight="false" outlineLevel="0" collapsed="false">
      <c r="A124" s="15" t="s">
        <v>479</v>
      </c>
      <c r="B124" s="16" t="s">
        <v>24</v>
      </c>
      <c r="C124" s="16" t="s">
        <v>474</v>
      </c>
      <c r="D124" s="16" t="s">
        <v>480</v>
      </c>
      <c r="E124" s="16" t="s">
        <v>68</v>
      </c>
      <c r="F124" s="16" t="s">
        <v>476</v>
      </c>
      <c r="G124" s="17" t="n">
        <v>10</v>
      </c>
      <c r="H124" s="18" t="s">
        <v>30</v>
      </c>
      <c r="I124" s="22" t="s">
        <v>36</v>
      </c>
      <c r="J124" s="20" t="s">
        <v>481</v>
      </c>
      <c r="K124" s="20" t="s">
        <v>482</v>
      </c>
    </row>
    <row r="125" customFormat="false" ht="15" hidden="false" customHeight="false" outlineLevel="0" collapsed="false">
      <c r="A125" s="15" t="s">
        <v>483</v>
      </c>
      <c r="B125" s="16" t="s">
        <v>24</v>
      </c>
      <c r="C125" s="16" t="s">
        <v>474</v>
      </c>
      <c r="D125" s="16" t="s">
        <v>484</v>
      </c>
      <c r="E125" s="16" t="s">
        <v>68</v>
      </c>
      <c r="F125" s="16" t="s">
        <v>485</v>
      </c>
      <c r="G125" s="17" t="n">
        <v>10</v>
      </c>
      <c r="H125" s="18" t="s">
        <v>30</v>
      </c>
      <c r="I125" s="22" t="s">
        <v>36</v>
      </c>
      <c r="J125" s="20" t="s">
        <v>486</v>
      </c>
      <c r="K125" s="20" t="s">
        <v>487</v>
      </c>
    </row>
    <row r="126" customFormat="false" ht="15" hidden="false" customHeight="false" outlineLevel="0" collapsed="false">
      <c r="A126" s="15" t="s">
        <v>488</v>
      </c>
      <c r="B126" s="16" t="s">
        <v>24</v>
      </c>
      <c r="C126" s="16" t="s">
        <v>474</v>
      </c>
      <c r="D126" s="16" t="s">
        <v>489</v>
      </c>
      <c r="E126" s="16" t="s">
        <v>68</v>
      </c>
      <c r="F126" s="16" t="s">
        <v>490</v>
      </c>
      <c r="G126" s="17" t="n">
        <v>10</v>
      </c>
      <c r="H126" s="18" t="s">
        <v>30</v>
      </c>
      <c r="I126" s="22" t="s">
        <v>36</v>
      </c>
      <c r="J126" s="20" t="s">
        <v>491</v>
      </c>
      <c r="K126" s="20" t="s">
        <v>492</v>
      </c>
    </row>
    <row r="127" customFormat="false" ht="23.85" hidden="false" customHeight="false" outlineLevel="0" collapsed="false">
      <c r="A127" s="15" t="s">
        <v>493</v>
      </c>
      <c r="B127" s="16" t="s">
        <v>24</v>
      </c>
      <c r="C127" s="16" t="s">
        <v>494</v>
      </c>
      <c r="D127" s="16" t="s">
        <v>495</v>
      </c>
      <c r="E127" s="16" t="s">
        <v>68</v>
      </c>
      <c r="F127" s="16" t="s">
        <v>496</v>
      </c>
      <c r="G127" s="17" t="n">
        <v>10</v>
      </c>
      <c r="H127" s="18" t="s">
        <v>30</v>
      </c>
      <c r="I127" s="22" t="s">
        <v>36</v>
      </c>
      <c r="J127" s="20" t="s">
        <v>497</v>
      </c>
      <c r="K127" s="20" t="s">
        <v>498</v>
      </c>
    </row>
    <row r="128" customFormat="false" ht="15" hidden="false" customHeight="false" outlineLevel="0" collapsed="false">
      <c r="A128" s="15" t="s">
        <v>499</v>
      </c>
      <c r="B128" s="16" t="s">
        <v>24</v>
      </c>
      <c r="C128" s="16" t="s">
        <v>494</v>
      </c>
      <c r="D128" s="16" t="s">
        <v>500</v>
      </c>
      <c r="E128" s="16" t="s">
        <v>68</v>
      </c>
      <c r="F128" s="16" t="s">
        <v>501</v>
      </c>
      <c r="G128" s="17" t="n">
        <v>10</v>
      </c>
      <c r="H128" s="18" t="s">
        <v>30</v>
      </c>
      <c r="I128" s="22" t="s">
        <v>36</v>
      </c>
      <c r="J128" s="20" t="s">
        <v>502</v>
      </c>
      <c r="K128" s="20" t="s">
        <v>358</v>
      </c>
    </row>
    <row r="129" customFormat="false" ht="15" hidden="false" customHeight="false" outlineLevel="0" collapsed="false">
      <c r="A129" s="15" t="s">
        <v>503</v>
      </c>
      <c r="B129" s="16" t="s">
        <v>24</v>
      </c>
      <c r="C129" s="16" t="s">
        <v>494</v>
      </c>
      <c r="D129" s="16" t="s">
        <v>504</v>
      </c>
      <c r="E129" s="16" t="s">
        <v>68</v>
      </c>
      <c r="F129" s="16" t="s">
        <v>501</v>
      </c>
      <c r="G129" s="17" t="n">
        <v>10</v>
      </c>
      <c r="H129" s="18" t="s">
        <v>30</v>
      </c>
      <c r="I129" s="22" t="s">
        <v>36</v>
      </c>
      <c r="J129" s="20" t="s">
        <v>505</v>
      </c>
      <c r="K129" s="20" t="s">
        <v>506</v>
      </c>
    </row>
    <row r="130" customFormat="false" ht="15" hidden="false" customHeight="false" outlineLevel="0" collapsed="false">
      <c r="A130" s="15" t="s">
        <v>507</v>
      </c>
      <c r="B130" s="16" t="s">
        <v>24</v>
      </c>
      <c r="C130" s="16" t="s">
        <v>508</v>
      </c>
      <c r="D130" s="16" t="s">
        <v>509</v>
      </c>
      <c r="E130" s="16" t="s">
        <v>68</v>
      </c>
      <c r="F130" s="16" t="s">
        <v>510</v>
      </c>
      <c r="G130" s="17" t="n">
        <v>10</v>
      </c>
      <c r="H130" s="18" t="s">
        <v>30</v>
      </c>
      <c r="I130" s="22" t="s">
        <v>36</v>
      </c>
      <c r="J130" s="20" t="s">
        <v>511</v>
      </c>
      <c r="K130" s="20" t="s">
        <v>512</v>
      </c>
    </row>
    <row r="131" customFormat="false" ht="15" hidden="false" customHeight="false" outlineLevel="0" collapsed="false">
      <c r="A131" s="15" t="s">
        <v>513</v>
      </c>
      <c r="B131" s="16" t="s">
        <v>24</v>
      </c>
      <c r="C131" s="16" t="s">
        <v>508</v>
      </c>
      <c r="D131" s="16" t="s">
        <v>514</v>
      </c>
      <c r="E131" s="16" t="s">
        <v>68</v>
      </c>
      <c r="F131" s="16" t="s">
        <v>515</v>
      </c>
      <c r="G131" s="17" t="n">
        <v>10</v>
      </c>
      <c r="H131" s="18" t="s">
        <v>30</v>
      </c>
      <c r="I131" s="22" t="s">
        <v>36</v>
      </c>
      <c r="J131" s="20" t="s">
        <v>516</v>
      </c>
      <c r="K131" s="20" t="s">
        <v>517</v>
      </c>
    </row>
    <row r="132" customFormat="false" ht="15" hidden="false" customHeight="false" outlineLevel="0" collapsed="false">
      <c r="A132" s="15" t="s">
        <v>518</v>
      </c>
      <c r="B132" s="16" t="s">
        <v>24</v>
      </c>
      <c r="C132" s="16" t="s">
        <v>508</v>
      </c>
      <c r="D132" s="16" t="s">
        <v>519</v>
      </c>
      <c r="E132" s="16" t="s">
        <v>68</v>
      </c>
      <c r="F132" s="16" t="s">
        <v>520</v>
      </c>
      <c r="G132" s="17" t="n">
        <v>10</v>
      </c>
      <c r="H132" s="18" t="s">
        <v>30</v>
      </c>
      <c r="I132" s="22" t="s">
        <v>36</v>
      </c>
      <c r="J132" s="20" t="s">
        <v>521</v>
      </c>
      <c r="K132" s="20" t="s">
        <v>522</v>
      </c>
    </row>
    <row r="133" customFormat="false" ht="15" hidden="false" customHeight="false" outlineLevel="0" collapsed="false">
      <c r="A133" s="15" t="s">
        <v>523</v>
      </c>
      <c r="B133" s="16" t="s">
        <v>24</v>
      </c>
      <c r="C133" s="16" t="s">
        <v>508</v>
      </c>
      <c r="D133" s="16" t="s">
        <v>524</v>
      </c>
      <c r="E133" s="16" t="s">
        <v>68</v>
      </c>
      <c r="F133" s="16" t="s">
        <v>336</v>
      </c>
      <c r="G133" s="17" t="n">
        <v>10</v>
      </c>
      <c r="H133" s="18" t="s">
        <v>30</v>
      </c>
      <c r="I133" s="22" t="s">
        <v>36</v>
      </c>
      <c r="J133" s="20" t="s">
        <v>525</v>
      </c>
      <c r="K133" s="20" t="s">
        <v>526</v>
      </c>
    </row>
    <row r="134" customFormat="false" ht="15" hidden="false" customHeight="false" outlineLevel="0" collapsed="false">
      <c r="A134" s="15" t="s">
        <v>527</v>
      </c>
      <c r="B134" s="16" t="s">
        <v>24</v>
      </c>
      <c r="C134" s="16" t="s">
        <v>528</v>
      </c>
      <c r="D134" s="16" t="s">
        <v>529</v>
      </c>
      <c r="E134" s="16" t="s">
        <v>68</v>
      </c>
      <c r="F134" s="16" t="s">
        <v>530</v>
      </c>
      <c r="G134" s="17" t="n">
        <v>10</v>
      </c>
      <c r="H134" s="18" t="s">
        <v>30</v>
      </c>
      <c r="I134" s="22" t="s">
        <v>36</v>
      </c>
      <c r="J134" s="20" t="s">
        <v>531</v>
      </c>
      <c r="K134" s="20" t="s">
        <v>532</v>
      </c>
    </row>
    <row r="135" customFormat="false" ht="15" hidden="false" customHeight="false" outlineLevel="0" collapsed="false">
      <c r="A135" s="15" t="s">
        <v>533</v>
      </c>
      <c r="B135" s="16" t="s">
        <v>24</v>
      </c>
      <c r="C135" s="16" t="s">
        <v>528</v>
      </c>
      <c r="D135" s="16" t="s">
        <v>534</v>
      </c>
      <c r="E135" s="16" t="s">
        <v>68</v>
      </c>
      <c r="F135" s="16" t="s">
        <v>530</v>
      </c>
      <c r="G135" s="17" t="n">
        <v>10</v>
      </c>
      <c r="H135" s="18" t="s">
        <v>30</v>
      </c>
      <c r="I135" s="22" t="s">
        <v>36</v>
      </c>
      <c r="J135" s="20" t="s">
        <v>535</v>
      </c>
      <c r="K135" s="20" t="s">
        <v>536</v>
      </c>
    </row>
    <row r="136" customFormat="false" ht="15" hidden="false" customHeight="false" outlineLevel="0" collapsed="false">
      <c r="A136" s="15" t="s">
        <v>537</v>
      </c>
      <c r="B136" s="16" t="s">
        <v>24</v>
      </c>
      <c r="C136" s="16" t="s">
        <v>538</v>
      </c>
      <c r="D136" s="16" t="s">
        <v>539</v>
      </c>
      <c r="E136" s="16" t="s">
        <v>68</v>
      </c>
      <c r="F136" s="16" t="s">
        <v>336</v>
      </c>
      <c r="G136" s="17" t="n">
        <v>10</v>
      </c>
      <c r="H136" s="18" t="s">
        <v>30</v>
      </c>
      <c r="I136" s="22" t="s">
        <v>36</v>
      </c>
      <c r="J136" s="20" t="s">
        <v>540</v>
      </c>
      <c r="K136" s="20" t="s">
        <v>541</v>
      </c>
    </row>
    <row r="137" customFormat="false" ht="15" hidden="false" customHeight="false" outlineLevel="0" collapsed="false">
      <c r="A137" s="15" t="s">
        <v>542</v>
      </c>
      <c r="B137" s="16" t="s">
        <v>24</v>
      </c>
      <c r="C137" s="16" t="s">
        <v>538</v>
      </c>
      <c r="D137" s="16" t="s">
        <v>543</v>
      </c>
      <c r="E137" s="16" t="s">
        <v>68</v>
      </c>
      <c r="F137" s="16" t="s">
        <v>336</v>
      </c>
      <c r="G137" s="17" t="n">
        <v>10</v>
      </c>
      <c r="H137" s="18" t="s">
        <v>30</v>
      </c>
      <c r="I137" s="22" t="s">
        <v>36</v>
      </c>
      <c r="J137" s="20" t="s">
        <v>544</v>
      </c>
      <c r="K137" s="20" t="s">
        <v>545</v>
      </c>
    </row>
    <row r="138" customFormat="false" ht="23.85" hidden="false" customHeight="false" outlineLevel="0" collapsed="false">
      <c r="A138" s="15" t="s">
        <v>546</v>
      </c>
      <c r="B138" s="16" t="s">
        <v>24</v>
      </c>
      <c r="C138" s="16" t="s">
        <v>538</v>
      </c>
      <c r="D138" s="16" t="s">
        <v>547</v>
      </c>
      <c r="E138" s="16" t="s">
        <v>68</v>
      </c>
      <c r="F138" s="16" t="s">
        <v>60</v>
      </c>
      <c r="G138" s="17" t="n">
        <v>10</v>
      </c>
      <c r="H138" s="18" t="s">
        <v>30</v>
      </c>
      <c r="I138" s="22" t="s">
        <v>36</v>
      </c>
      <c r="J138" s="20" t="s">
        <v>548</v>
      </c>
      <c r="K138" s="20" t="s">
        <v>549</v>
      </c>
    </row>
    <row r="139" customFormat="false" ht="23.85" hidden="false" customHeight="false" outlineLevel="0" collapsed="false">
      <c r="A139" s="15" t="s">
        <v>550</v>
      </c>
      <c r="B139" s="16" t="s">
        <v>24</v>
      </c>
      <c r="C139" s="16" t="s">
        <v>538</v>
      </c>
      <c r="D139" s="16" t="s">
        <v>551</v>
      </c>
      <c r="E139" s="16" t="s">
        <v>68</v>
      </c>
      <c r="F139" s="16" t="s">
        <v>552</v>
      </c>
      <c r="G139" s="17" t="n">
        <v>10</v>
      </c>
      <c r="H139" s="18" t="s">
        <v>30</v>
      </c>
      <c r="I139" s="22" t="s">
        <v>36</v>
      </c>
      <c r="J139" s="20" t="s">
        <v>553</v>
      </c>
      <c r="K139" s="20" t="s">
        <v>554</v>
      </c>
    </row>
    <row r="140" customFormat="false" ht="15" hidden="false" customHeight="false" outlineLevel="0" collapsed="false">
      <c r="A140" s="15" t="s">
        <v>555</v>
      </c>
      <c r="B140" s="16" t="s">
        <v>24</v>
      </c>
      <c r="C140" s="16" t="s">
        <v>556</v>
      </c>
      <c r="D140" s="16" t="s">
        <v>557</v>
      </c>
      <c r="E140" s="16" t="s">
        <v>68</v>
      </c>
      <c r="F140" s="16" t="s">
        <v>558</v>
      </c>
      <c r="G140" s="17" t="n">
        <v>10</v>
      </c>
      <c r="H140" s="18" t="s">
        <v>30</v>
      </c>
      <c r="I140" s="22" t="s">
        <v>36</v>
      </c>
      <c r="J140" s="20" t="s">
        <v>559</v>
      </c>
      <c r="K140" s="20" t="s">
        <v>560</v>
      </c>
    </row>
    <row r="141" customFormat="false" ht="15" hidden="false" customHeight="false" outlineLevel="0" collapsed="false">
      <c r="A141" s="15" t="s">
        <v>561</v>
      </c>
      <c r="B141" s="16" t="s">
        <v>24</v>
      </c>
      <c r="C141" s="16" t="s">
        <v>556</v>
      </c>
      <c r="D141" s="16" t="s">
        <v>562</v>
      </c>
      <c r="E141" s="16" t="s">
        <v>68</v>
      </c>
      <c r="F141" s="16" t="s">
        <v>563</v>
      </c>
      <c r="G141" s="17" t="n">
        <v>10</v>
      </c>
      <c r="H141" s="18" t="s">
        <v>30</v>
      </c>
      <c r="I141" s="22" t="s">
        <v>36</v>
      </c>
      <c r="J141" s="20" t="s">
        <v>564</v>
      </c>
      <c r="K141" s="20" t="s">
        <v>565</v>
      </c>
    </row>
    <row r="142" customFormat="false" ht="15" hidden="false" customHeight="false" outlineLevel="0" collapsed="false">
      <c r="A142" s="15" t="s">
        <v>566</v>
      </c>
      <c r="B142" s="16" t="s">
        <v>25</v>
      </c>
      <c r="C142" s="16" t="s">
        <v>567</v>
      </c>
      <c r="D142" s="16" t="s">
        <v>568</v>
      </c>
      <c r="E142" s="16" t="s">
        <v>68</v>
      </c>
      <c r="F142" s="16" t="s">
        <v>569</v>
      </c>
      <c r="G142" s="17" t="n">
        <v>0</v>
      </c>
      <c r="H142" s="18" t="s">
        <v>30</v>
      </c>
      <c r="I142" s="22" t="s">
        <v>36</v>
      </c>
      <c r="J142" s="20" t="s">
        <v>570</v>
      </c>
      <c r="K142" s="20" t="s">
        <v>571</v>
      </c>
    </row>
    <row r="143" customFormat="false" ht="15" hidden="false" customHeight="false" outlineLevel="0" collapsed="false">
      <c r="A143" s="15" t="s">
        <v>572</v>
      </c>
      <c r="B143" s="16" t="s">
        <v>25</v>
      </c>
      <c r="C143" s="16" t="s">
        <v>567</v>
      </c>
      <c r="D143" s="16" t="s">
        <v>573</v>
      </c>
      <c r="E143" s="16" t="s">
        <v>68</v>
      </c>
      <c r="F143" s="16" t="s">
        <v>60</v>
      </c>
      <c r="G143" s="17" t="n">
        <v>0</v>
      </c>
      <c r="H143" s="18" t="s">
        <v>30</v>
      </c>
      <c r="I143" s="22" t="s">
        <v>36</v>
      </c>
      <c r="J143" s="20" t="s">
        <v>574</v>
      </c>
      <c r="K143" s="20" t="s">
        <v>575</v>
      </c>
    </row>
    <row r="144" customFormat="false" ht="15" hidden="false" customHeight="false" outlineLevel="0" collapsed="false">
      <c r="A144" s="15" t="s">
        <v>576</v>
      </c>
      <c r="B144" s="16" t="s">
        <v>25</v>
      </c>
      <c r="C144" s="16" t="s">
        <v>567</v>
      </c>
      <c r="D144" s="16" t="s">
        <v>577</v>
      </c>
      <c r="E144" s="16" t="s">
        <v>68</v>
      </c>
      <c r="F144" s="16" t="s">
        <v>578</v>
      </c>
      <c r="G144" s="17" t="n">
        <v>0</v>
      </c>
      <c r="H144" s="18" t="s">
        <v>30</v>
      </c>
      <c r="I144" s="22" t="s">
        <v>36</v>
      </c>
      <c r="J144" s="20" t="s">
        <v>579</v>
      </c>
      <c r="K144" s="20" t="s">
        <v>580</v>
      </c>
    </row>
    <row r="145" customFormat="false" ht="15" hidden="false" customHeight="false" outlineLevel="0" collapsed="false">
      <c r="A145" s="15" t="s">
        <v>581</v>
      </c>
      <c r="B145" s="16" t="s">
        <v>25</v>
      </c>
      <c r="C145" s="16" t="s">
        <v>567</v>
      </c>
      <c r="D145" s="16" t="s">
        <v>582</v>
      </c>
      <c r="E145" s="16" t="s">
        <v>68</v>
      </c>
      <c r="F145" s="16" t="s">
        <v>583</v>
      </c>
      <c r="G145" s="17" t="n">
        <v>0</v>
      </c>
      <c r="H145" s="18" t="s">
        <v>30</v>
      </c>
      <c r="I145" s="22" t="s">
        <v>36</v>
      </c>
      <c r="J145" s="20" t="s">
        <v>584</v>
      </c>
      <c r="K145" s="20" t="s">
        <v>585</v>
      </c>
    </row>
    <row r="146" customFormat="false" ht="15" hidden="false" customHeight="false" outlineLevel="0" collapsed="false">
      <c r="A146" s="15" t="s">
        <v>586</v>
      </c>
      <c r="B146" s="16" t="s">
        <v>25</v>
      </c>
      <c r="C146" s="16" t="s">
        <v>567</v>
      </c>
      <c r="D146" s="16" t="s">
        <v>587</v>
      </c>
      <c r="E146" s="16" t="s">
        <v>68</v>
      </c>
      <c r="F146" s="16" t="s">
        <v>588</v>
      </c>
      <c r="G146" s="17" t="n">
        <v>0</v>
      </c>
      <c r="H146" s="18" t="s">
        <v>30</v>
      </c>
      <c r="I146" s="22" t="s">
        <v>36</v>
      </c>
      <c r="J146" s="20" t="s">
        <v>589</v>
      </c>
      <c r="K146" s="20" t="s">
        <v>590</v>
      </c>
    </row>
    <row r="147" customFormat="false" ht="15" hidden="false" customHeight="false" outlineLevel="0" collapsed="false">
      <c r="A147" s="15" t="s">
        <v>591</v>
      </c>
      <c r="B147" s="16" t="s">
        <v>25</v>
      </c>
      <c r="C147" s="16" t="s">
        <v>567</v>
      </c>
      <c r="D147" s="16" t="s">
        <v>592</v>
      </c>
      <c r="E147" s="16" t="s">
        <v>68</v>
      </c>
      <c r="F147" s="16" t="s">
        <v>593</v>
      </c>
      <c r="G147" s="17" t="n">
        <v>0</v>
      </c>
      <c r="H147" s="18" t="s">
        <v>30</v>
      </c>
      <c r="I147" s="22" t="s">
        <v>36</v>
      </c>
      <c r="J147" s="20" t="s">
        <v>594</v>
      </c>
      <c r="K147" s="20" t="s">
        <v>595</v>
      </c>
    </row>
    <row r="148" customFormat="false" ht="15" hidden="false" customHeight="false" outlineLevel="0" collapsed="false">
      <c r="A148" s="15" t="s">
        <v>596</v>
      </c>
      <c r="B148" s="16" t="s">
        <v>25</v>
      </c>
      <c r="C148" s="16" t="s">
        <v>567</v>
      </c>
      <c r="D148" s="16" t="s">
        <v>597</v>
      </c>
      <c r="E148" s="16" t="s">
        <v>68</v>
      </c>
      <c r="F148" s="16" t="s">
        <v>60</v>
      </c>
      <c r="G148" s="17" t="n">
        <v>0</v>
      </c>
      <c r="H148" s="18" t="s">
        <v>30</v>
      </c>
      <c r="I148" s="22" t="s">
        <v>36</v>
      </c>
      <c r="J148" s="20" t="s">
        <v>598</v>
      </c>
      <c r="K148" s="20" t="s">
        <v>599</v>
      </c>
    </row>
    <row r="149" customFormat="false" ht="15" hidden="false" customHeight="false" outlineLevel="0" collapsed="false">
      <c r="A149" s="15" t="s">
        <v>600</v>
      </c>
      <c r="B149" s="16" t="s">
        <v>26</v>
      </c>
      <c r="C149" s="16" t="s">
        <v>601</v>
      </c>
      <c r="D149" s="16" t="s">
        <v>602</v>
      </c>
      <c r="E149" s="16" t="s">
        <v>50</v>
      </c>
      <c r="F149" s="16" t="s">
        <v>603</v>
      </c>
      <c r="G149" s="17" t="n">
        <v>30</v>
      </c>
      <c r="H149" s="18" t="s">
        <v>30</v>
      </c>
      <c r="I149" s="19" t="s">
        <v>35</v>
      </c>
      <c r="J149" s="20" t="s">
        <v>604</v>
      </c>
      <c r="K149" s="20" t="s">
        <v>605</v>
      </c>
    </row>
    <row r="150" customFormat="false" ht="15" hidden="false" customHeight="false" outlineLevel="0" collapsed="false">
      <c r="A150" s="15" t="s">
        <v>606</v>
      </c>
      <c r="B150" s="16" t="s">
        <v>26</v>
      </c>
      <c r="C150" s="16" t="s">
        <v>601</v>
      </c>
      <c r="D150" s="16" t="s">
        <v>607</v>
      </c>
      <c r="E150" s="16" t="s">
        <v>50</v>
      </c>
      <c r="F150" s="16" t="s">
        <v>608</v>
      </c>
      <c r="G150" s="17" t="n">
        <v>1</v>
      </c>
      <c r="H150" s="18" t="s">
        <v>30</v>
      </c>
      <c r="I150" s="19" t="s">
        <v>35</v>
      </c>
      <c r="J150" s="20" t="s">
        <v>609</v>
      </c>
      <c r="K150" s="20" t="s">
        <v>610</v>
      </c>
    </row>
    <row r="151" customFormat="false" ht="15" hidden="false" customHeight="false" outlineLevel="0" collapsed="false">
      <c r="A151" s="15" t="s">
        <v>611</v>
      </c>
      <c r="B151" s="16" t="s">
        <v>26</v>
      </c>
      <c r="C151" s="16" t="s">
        <v>601</v>
      </c>
      <c r="D151" s="16" t="s">
        <v>612</v>
      </c>
      <c r="E151" s="16" t="s">
        <v>50</v>
      </c>
      <c r="F151" s="16" t="s">
        <v>613</v>
      </c>
      <c r="G151" s="17" t="n">
        <v>1</v>
      </c>
      <c r="H151" s="18" t="s">
        <v>30</v>
      </c>
      <c r="I151" s="22" t="s">
        <v>36</v>
      </c>
      <c r="J151" s="20" t="s">
        <v>614</v>
      </c>
      <c r="K151" s="20" t="s">
        <v>615</v>
      </c>
    </row>
    <row r="152" customFormat="false" ht="15" hidden="false" customHeight="false" outlineLevel="0" collapsed="false">
      <c r="A152" s="15" t="s">
        <v>616</v>
      </c>
      <c r="B152" s="16" t="s">
        <v>26</v>
      </c>
      <c r="C152" s="16" t="s">
        <v>601</v>
      </c>
      <c r="D152" s="16" t="s">
        <v>617</v>
      </c>
      <c r="E152" s="16" t="s">
        <v>50</v>
      </c>
      <c r="F152" s="16" t="s">
        <v>618</v>
      </c>
      <c r="G152" s="17" t="n">
        <v>1</v>
      </c>
      <c r="H152" s="18" t="s">
        <v>30</v>
      </c>
      <c r="I152" s="22" t="s">
        <v>36</v>
      </c>
      <c r="J152" s="20" t="s">
        <v>619</v>
      </c>
      <c r="K152" s="20" t="s">
        <v>620</v>
      </c>
    </row>
    <row r="153" customFormat="false" ht="23.85" hidden="false" customHeight="false" outlineLevel="0" collapsed="false">
      <c r="A153" s="15" t="s">
        <v>621</v>
      </c>
      <c r="B153" s="16" t="s">
        <v>26</v>
      </c>
      <c r="C153" s="16" t="s">
        <v>601</v>
      </c>
      <c r="D153" s="16" t="s">
        <v>622</v>
      </c>
      <c r="E153" s="16" t="s">
        <v>50</v>
      </c>
      <c r="F153" s="16" t="s">
        <v>623</v>
      </c>
      <c r="G153" s="17" t="n">
        <v>1</v>
      </c>
      <c r="H153" s="18" t="s">
        <v>30</v>
      </c>
      <c r="I153" s="22" t="s">
        <v>36</v>
      </c>
      <c r="J153" s="20" t="s">
        <v>624</v>
      </c>
      <c r="K153" s="20" t="s">
        <v>625</v>
      </c>
    </row>
    <row r="154" customFormat="false" ht="15" hidden="false" customHeight="false" outlineLevel="0" collapsed="false">
      <c r="A154" s="15" t="s">
        <v>626</v>
      </c>
      <c r="B154" s="16" t="s">
        <v>26</v>
      </c>
      <c r="C154" s="16" t="s">
        <v>601</v>
      </c>
      <c r="D154" s="16" t="s">
        <v>627</v>
      </c>
      <c r="E154" s="16" t="s">
        <v>50</v>
      </c>
      <c r="F154" s="16" t="s">
        <v>628</v>
      </c>
      <c r="G154" s="17" t="n">
        <v>0</v>
      </c>
      <c r="H154" s="18" t="s">
        <v>30</v>
      </c>
      <c r="I154" s="22" t="s">
        <v>36</v>
      </c>
      <c r="J154" s="20" t="s">
        <v>629</v>
      </c>
      <c r="K154" s="20" t="s">
        <v>630</v>
      </c>
    </row>
    <row r="155" customFormat="false" ht="15" hidden="false" customHeight="false" outlineLevel="0" collapsed="false">
      <c r="A155" s="15" t="s">
        <v>631</v>
      </c>
      <c r="B155" s="16" t="s">
        <v>26</v>
      </c>
      <c r="C155" s="16" t="s">
        <v>601</v>
      </c>
      <c r="D155" s="16" t="s">
        <v>632</v>
      </c>
      <c r="E155" s="16" t="s">
        <v>50</v>
      </c>
      <c r="F155" s="16" t="s">
        <v>501</v>
      </c>
      <c r="G155" s="17" t="n">
        <v>1</v>
      </c>
      <c r="H155" s="18" t="s">
        <v>30</v>
      </c>
      <c r="I155" s="22" t="s">
        <v>36</v>
      </c>
      <c r="J155" s="20" t="s">
        <v>633</v>
      </c>
      <c r="K155" s="20" t="s">
        <v>634</v>
      </c>
    </row>
    <row r="156" customFormat="false" ht="15" hidden="false" customHeight="false" outlineLevel="0" collapsed="false">
      <c r="A156" s="15" t="s">
        <v>635</v>
      </c>
      <c r="B156" s="16" t="s">
        <v>26</v>
      </c>
      <c r="C156" s="16" t="s">
        <v>601</v>
      </c>
      <c r="D156" s="16" t="s">
        <v>636</v>
      </c>
      <c r="E156" s="16" t="s">
        <v>50</v>
      </c>
      <c r="F156" s="16" t="s">
        <v>637</v>
      </c>
      <c r="G156" s="17" t="n">
        <v>1</v>
      </c>
      <c r="H156" s="18" t="s">
        <v>30</v>
      </c>
      <c r="I156" s="22" t="s">
        <v>36</v>
      </c>
      <c r="J156" s="20" t="s">
        <v>638</v>
      </c>
      <c r="K156" s="20" t="s">
        <v>639</v>
      </c>
    </row>
  </sheetData>
  <autoFilter ref="A1:K1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2026-08-31T05:52:37Z</dcterms:created>
  <dc:creator>openpyxl</dc:creator>
  <dc:description/>
  <dc:language>en-US</dc:language>
  <cp:lastModifiedBy/>
  <dcterms:modified xsi:type="dcterms:W3CDTF">2026-08-31T05:52:38Z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